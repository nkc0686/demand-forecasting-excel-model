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d110be402d225b/Desktop/Documents/"/>
    </mc:Choice>
  </mc:AlternateContent>
  <xr:revisionPtr revIDLastSave="729" documentId="8_{B2A6F469-E58F-49F7-B6F4-5ED3B4F5B008}" xr6:coauthVersionLast="47" xr6:coauthVersionMax="47" xr10:uidLastSave="{22083A61-7253-4430-9DAF-69A985F28FA1}"/>
  <bookViews>
    <workbookView xWindow="-90" yWindow="0" windowWidth="19380" windowHeight="20970" xr2:uid="{17D89822-D5D8-49F4-9E4C-2E916163A3E5}"/>
  </bookViews>
  <sheets>
    <sheet name="Forecast_Model" sheetId="1" r:id="rId1"/>
    <sheet name="Forecast_Errors" sheetId="2" r:id="rId2"/>
    <sheet name="Method_Comparison" sheetId="3" r:id="rId3"/>
    <sheet name="Forecast_Methods_Refer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9" i="1"/>
  <c r="O10" i="2" s="1"/>
  <c r="P10" i="2" s="1"/>
  <c r="F10" i="1"/>
  <c r="O11" i="2" s="1"/>
  <c r="P11" i="2" s="1"/>
  <c r="F11" i="1"/>
  <c r="O12" i="2" s="1"/>
  <c r="P12" i="2" s="1"/>
  <c r="F12" i="1"/>
  <c r="O13" i="2" s="1"/>
  <c r="P13" i="2" s="1"/>
  <c r="F13" i="1"/>
  <c r="O14" i="2" s="1"/>
  <c r="P14" i="2" s="1"/>
  <c r="F14" i="1"/>
  <c r="O15" i="2" s="1"/>
  <c r="P15" i="2" s="1"/>
  <c r="F15" i="1"/>
  <c r="O16" i="2" s="1"/>
  <c r="P16" i="2" s="1"/>
  <c r="F16" i="1"/>
  <c r="O17" i="2" s="1"/>
  <c r="P17" i="2" s="1"/>
  <c r="F17" i="1"/>
  <c r="O18" i="2" s="1"/>
  <c r="P18" i="2" s="1"/>
  <c r="F18" i="1"/>
  <c r="O19" i="2" s="1"/>
  <c r="P19" i="2" s="1"/>
  <c r="F19" i="1"/>
  <c r="O20" i="2" s="1"/>
  <c r="P20" i="2" s="1"/>
  <c r="F20" i="1"/>
  <c r="O21" i="2" s="1"/>
  <c r="P21" i="2" s="1"/>
  <c r="F21" i="1"/>
  <c r="O22" i="2" s="1"/>
  <c r="P22" i="2" s="1"/>
  <c r="F22" i="1"/>
  <c r="O23" i="2" s="1"/>
  <c r="P23" i="2" s="1"/>
  <c r="F23" i="1"/>
  <c r="O24" i="2" s="1"/>
  <c r="P24" i="2" s="1"/>
  <c r="F24" i="1"/>
  <c r="O25" i="2" s="1"/>
  <c r="P25" i="2" s="1"/>
  <c r="F25" i="1"/>
  <c r="O26" i="2" s="1"/>
  <c r="P26" i="2" s="1"/>
  <c r="F26" i="1"/>
  <c r="O27" i="2" s="1"/>
  <c r="P27" i="2" s="1"/>
  <c r="F27" i="1"/>
  <c r="O28" i="2" s="1"/>
  <c r="P28" i="2" s="1"/>
  <c r="F28" i="1"/>
  <c r="O29" i="2" s="1"/>
  <c r="P29" i="2" s="1"/>
  <c r="F29" i="1"/>
  <c r="O30" i="2" s="1"/>
  <c r="P30" i="2" s="1"/>
  <c r="F30" i="1"/>
  <c r="O31" i="2" s="1"/>
  <c r="P31" i="2" s="1"/>
  <c r="F31" i="1"/>
  <c r="O32" i="2" s="1"/>
  <c r="P32" i="2" s="1"/>
  <c r="F32" i="1"/>
  <c r="O33" i="2" s="1"/>
  <c r="P33" i="2" s="1"/>
  <c r="F33" i="1"/>
  <c r="O34" i="2" s="1"/>
  <c r="F8" i="1"/>
  <c r="O9" i="2" s="1"/>
  <c r="P9" i="2" s="1"/>
  <c r="E7" i="1"/>
  <c r="K8" i="2" s="1"/>
  <c r="L8" i="2" s="1"/>
  <c r="E8" i="1"/>
  <c r="K9" i="2" s="1"/>
  <c r="L9" i="2" s="1"/>
  <c r="E9" i="1"/>
  <c r="K10" i="2" s="1"/>
  <c r="L10" i="2" s="1"/>
  <c r="E10" i="1"/>
  <c r="K11" i="2" s="1"/>
  <c r="L11" i="2" s="1"/>
  <c r="E11" i="1"/>
  <c r="K12" i="2" s="1"/>
  <c r="L12" i="2" s="1"/>
  <c r="E12" i="1"/>
  <c r="K13" i="2" s="1"/>
  <c r="L13" i="2" s="1"/>
  <c r="E13" i="1"/>
  <c r="K14" i="2" s="1"/>
  <c r="L14" i="2" s="1"/>
  <c r="E14" i="1"/>
  <c r="K15" i="2" s="1"/>
  <c r="L15" i="2" s="1"/>
  <c r="E15" i="1"/>
  <c r="K16" i="2" s="1"/>
  <c r="L16" i="2" s="1"/>
  <c r="E16" i="1"/>
  <c r="K17" i="2" s="1"/>
  <c r="L17" i="2" s="1"/>
  <c r="E17" i="1"/>
  <c r="K18" i="2" s="1"/>
  <c r="L18" i="2" s="1"/>
  <c r="E18" i="1"/>
  <c r="K19" i="2" s="1"/>
  <c r="L19" i="2" s="1"/>
  <c r="E19" i="1"/>
  <c r="K20" i="2" s="1"/>
  <c r="L20" i="2" s="1"/>
  <c r="E20" i="1"/>
  <c r="K21" i="2" s="1"/>
  <c r="L21" i="2" s="1"/>
  <c r="E21" i="1"/>
  <c r="K22" i="2" s="1"/>
  <c r="L22" i="2" s="1"/>
  <c r="E22" i="1"/>
  <c r="K23" i="2" s="1"/>
  <c r="L23" i="2" s="1"/>
  <c r="E23" i="1"/>
  <c r="K24" i="2" s="1"/>
  <c r="L24" i="2" s="1"/>
  <c r="E24" i="1"/>
  <c r="K25" i="2" s="1"/>
  <c r="L25" i="2" s="1"/>
  <c r="E25" i="1"/>
  <c r="K26" i="2" s="1"/>
  <c r="L26" i="2" s="1"/>
  <c r="E26" i="1"/>
  <c r="K27" i="2" s="1"/>
  <c r="L27" i="2" s="1"/>
  <c r="E27" i="1"/>
  <c r="K28" i="2" s="1"/>
  <c r="L28" i="2" s="1"/>
  <c r="E28" i="1"/>
  <c r="K29" i="2" s="1"/>
  <c r="L29" i="2" s="1"/>
  <c r="E29" i="1"/>
  <c r="K30" i="2" s="1"/>
  <c r="L30" i="2" s="1"/>
  <c r="E30" i="1"/>
  <c r="K31" i="2" s="1"/>
  <c r="L31" i="2" s="1"/>
  <c r="E31" i="1"/>
  <c r="K32" i="2" s="1"/>
  <c r="L32" i="2" s="1"/>
  <c r="E32" i="1"/>
  <c r="K33" i="2" s="1"/>
  <c r="L33" i="2" s="1"/>
  <c r="E33" i="1"/>
  <c r="K34" i="2" s="1"/>
  <c r="E6" i="1"/>
  <c r="K7" i="2" s="1"/>
  <c r="L7" i="2" s="1"/>
  <c r="D6" i="1"/>
  <c r="G7" i="2" s="1"/>
  <c r="H7" i="2" s="1"/>
  <c r="D7" i="1"/>
  <c r="G8" i="2" s="1"/>
  <c r="H8" i="2" s="1"/>
  <c r="D8" i="1"/>
  <c r="G9" i="2" s="1"/>
  <c r="H9" i="2" s="1"/>
  <c r="D9" i="1"/>
  <c r="G10" i="2" s="1"/>
  <c r="H10" i="2" s="1"/>
  <c r="D10" i="1"/>
  <c r="G11" i="2" s="1"/>
  <c r="H11" i="2" s="1"/>
  <c r="D11" i="1"/>
  <c r="G12" i="2" s="1"/>
  <c r="H12" i="2" s="1"/>
  <c r="D12" i="1"/>
  <c r="G13" i="2" s="1"/>
  <c r="H13" i="2" s="1"/>
  <c r="D13" i="1"/>
  <c r="G14" i="2" s="1"/>
  <c r="H14" i="2" s="1"/>
  <c r="D14" i="1"/>
  <c r="G15" i="2" s="1"/>
  <c r="H15" i="2" s="1"/>
  <c r="D15" i="1"/>
  <c r="G16" i="2" s="1"/>
  <c r="H16" i="2" s="1"/>
  <c r="D16" i="1"/>
  <c r="G17" i="2" s="1"/>
  <c r="H17" i="2" s="1"/>
  <c r="D17" i="1"/>
  <c r="G18" i="2" s="1"/>
  <c r="H18" i="2" s="1"/>
  <c r="D18" i="1"/>
  <c r="G19" i="2" s="1"/>
  <c r="H19" i="2" s="1"/>
  <c r="D19" i="1"/>
  <c r="G20" i="2" s="1"/>
  <c r="H20" i="2" s="1"/>
  <c r="D20" i="1"/>
  <c r="G21" i="2" s="1"/>
  <c r="H21" i="2" s="1"/>
  <c r="D21" i="1"/>
  <c r="G22" i="2" s="1"/>
  <c r="H22" i="2" s="1"/>
  <c r="D22" i="1"/>
  <c r="G23" i="2" s="1"/>
  <c r="H23" i="2" s="1"/>
  <c r="D23" i="1"/>
  <c r="G24" i="2" s="1"/>
  <c r="H24" i="2" s="1"/>
  <c r="D24" i="1"/>
  <c r="G25" i="2" s="1"/>
  <c r="H25" i="2" s="1"/>
  <c r="D25" i="1"/>
  <c r="G26" i="2" s="1"/>
  <c r="H26" i="2" s="1"/>
  <c r="D26" i="1"/>
  <c r="G27" i="2" s="1"/>
  <c r="H27" i="2" s="1"/>
  <c r="D27" i="1"/>
  <c r="G28" i="2" s="1"/>
  <c r="H28" i="2" s="1"/>
  <c r="D28" i="1"/>
  <c r="G29" i="2" s="1"/>
  <c r="H29" i="2" s="1"/>
  <c r="D29" i="1"/>
  <c r="G30" i="2" s="1"/>
  <c r="H30" i="2" s="1"/>
  <c r="D30" i="1"/>
  <c r="G31" i="2" s="1"/>
  <c r="H31" i="2" s="1"/>
  <c r="D31" i="1"/>
  <c r="G32" i="2" s="1"/>
  <c r="H32" i="2" s="1"/>
  <c r="D32" i="1"/>
  <c r="G33" i="2" s="1"/>
  <c r="H33" i="2" s="1"/>
  <c r="D33" i="1"/>
  <c r="G34" i="2" s="1"/>
  <c r="D5" i="1"/>
  <c r="G6" i="2" s="1"/>
  <c r="H6" i="2" s="1"/>
  <c r="C5" i="1"/>
  <c r="C6" i="2" s="1"/>
  <c r="D6" i="2" s="1"/>
  <c r="C6" i="1"/>
  <c r="C7" i="2" s="1"/>
  <c r="D7" i="2" s="1"/>
  <c r="C7" i="1"/>
  <c r="C8" i="2" s="1"/>
  <c r="D8" i="2" s="1"/>
  <c r="C8" i="1"/>
  <c r="C9" i="2" s="1"/>
  <c r="D9" i="2" s="1"/>
  <c r="C9" i="1"/>
  <c r="C10" i="2" s="1"/>
  <c r="D10" i="2" s="1"/>
  <c r="C10" i="1"/>
  <c r="C11" i="2" s="1"/>
  <c r="D11" i="2" s="1"/>
  <c r="C11" i="1"/>
  <c r="C12" i="2" s="1"/>
  <c r="D12" i="2" s="1"/>
  <c r="C12" i="1"/>
  <c r="C13" i="2" s="1"/>
  <c r="D13" i="2" s="1"/>
  <c r="C13" i="1"/>
  <c r="C14" i="2" s="1"/>
  <c r="D14" i="2" s="1"/>
  <c r="C14" i="1"/>
  <c r="C15" i="2" s="1"/>
  <c r="D15" i="2" s="1"/>
  <c r="C15" i="1"/>
  <c r="C16" i="2" s="1"/>
  <c r="D16" i="2" s="1"/>
  <c r="C16" i="1"/>
  <c r="C17" i="2" s="1"/>
  <c r="D17" i="2" s="1"/>
  <c r="C17" i="1"/>
  <c r="C18" i="2" s="1"/>
  <c r="D18" i="2" s="1"/>
  <c r="C18" i="1"/>
  <c r="C19" i="2" s="1"/>
  <c r="D19" i="2" s="1"/>
  <c r="C19" i="1"/>
  <c r="C20" i="2" s="1"/>
  <c r="D20" i="2" s="1"/>
  <c r="C20" i="1"/>
  <c r="C21" i="2" s="1"/>
  <c r="D21" i="2" s="1"/>
  <c r="C21" i="1"/>
  <c r="C22" i="2" s="1"/>
  <c r="D22" i="2" s="1"/>
  <c r="C22" i="1"/>
  <c r="C23" i="2" s="1"/>
  <c r="D23" i="2" s="1"/>
  <c r="C23" i="1"/>
  <c r="C24" i="2" s="1"/>
  <c r="D24" i="2" s="1"/>
  <c r="C24" i="1"/>
  <c r="C25" i="2" s="1"/>
  <c r="D25" i="2" s="1"/>
  <c r="C25" i="1"/>
  <c r="C26" i="2" s="1"/>
  <c r="D26" i="2" s="1"/>
  <c r="C26" i="1"/>
  <c r="C27" i="2" s="1"/>
  <c r="D27" i="2" s="1"/>
  <c r="C27" i="1"/>
  <c r="C28" i="2" s="1"/>
  <c r="D28" i="2" s="1"/>
  <c r="C28" i="1"/>
  <c r="C29" i="2" s="1"/>
  <c r="D29" i="2" s="1"/>
  <c r="C29" i="1"/>
  <c r="C30" i="2" s="1"/>
  <c r="D30" i="2" s="1"/>
  <c r="C30" i="1"/>
  <c r="C31" i="2" s="1"/>
  <c r="D31" i="2" s="1"/>
  <c r="C31" i="1"/>
  <c r="C32" i="2" s="1"/>
  <c r="D32" i="2" s="1"/>
  <c r="C32" i="1"/>
  <c r="C33" i="2" s="1"/>
  <c r="D33" i="2" s="1"/>
  <c r="C33" i="1"/>
  <c r="C34" i="2" s="1"/>
  <c r="C4" i="1"/>
  <c r="C5" i="2" s="1"/>
  <c r="D5" i="2" s="1"/>
  <c r="R10" i="2" l="1"/>
  <c r="Q10" i="2"/>
  <c r="Q11" i="2"/>
  <c r="R11" i="2"/>
  <c r="R12" i="2"/>
  <c r="Q12" i="2"/>
  <c r="Q13" i="2"/>
  <c r="R13" i="2"/>
  <c r="R14" i="2"/>
  <c r="Q14" i="2"/>
  <c r="Q15" i="2"/>
  <c r="R15" i="2"/>
  <c r="Q16" i="2"/>
  <c r="R16" i="2"/>
  <c r="R17" i="2"/>
  <c r="Q17" i="2"/>
  <c r="Q18" i="2"/>
  <c r="R18" i="2"/>
  <c r="Q19" i="2"/>
  <c r="R19" i="2"/>
  <c r="R20" i="2"/>
  <c r="Q20" i="2"/>
  <c r="Q21" i="2"/>
  <c r="R21" i="2"/>
  <c r="Q22" i="2"/>
  <c r="R22" i="2"/>
  <c r="R23" i="2"/>
  <c r="Q23" i="2"/>
  <c r="Q24" i="2"/>
  <c r="R24" i="2"/>
  <c r="Q25" i="2"/>
  <c r="R25" i="2"/>
  <c r="Q26" i="2"/>
  <c r="R26" i="2"/>
  <c r="R27" i="2"/>
  <c r="Q27" i="2"/>
  <c r="Q28" i="2"/>
  <c r="R28" i="2"/>
  <c r="Q29" i="2"/>
  <c r="R29" i="2"/>
  <c r="R30" i="2"/>
  <c r="Q30" i="2"/>
  <c r="Q31" i="2"/>
  <c r="R31" i="2"/>
  <c r="Q32" i="2"/>
  <c r="R32" i="2"/>
  <c r="Q33" i="2"/>
  <c r="R33" i="2"/>
  <c r="Q9" i="2"/>
  <c r="R9" i="2"/>
  <c r="N36" i="2"/>
  <c r="B7" i="3" s="1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N15" i="2"/>
  <c r="M15" i="2"/>
  <c r="M16" i="2"/>
  <c r="N16" i="2"/>
  <c r="M17" i="2"/>
  <c r="N17" i="2"/>
  <c r="M18" i="2"/>
  <c r="N18" i="2"/>
  <c r="N19" i="2"/>
  <c r="M19" i="2"/>
  <c r="M20" i="2"/>
  <c r="N20" i="2"/>
  <c r="M21" i="2"/>
  <c r="N21" i="2"/>
  <c r="M22" i="2"/>
  <c r="N22" i="2"/>
  <c r="M23" i="2"/>
  <c r="N23" i="2"/>
  <c r="M24" i="2"/>
  <c r="N24" i="2"/>
  <c r="N25" i="2"/>
  <c r="M25" i="2"/>
  <c r="M26" i="2"/>
  <c r="N26" i="2"/>
  <c r="M27" i="2"/>
  <c r="N27" i="2"/>
  <c r="N28" i="2"/>
  <c r="M28" i="2"/>
  <c r="M29" i="2"/>
  <c r="N29" i="2"/>
  <c r="M30" i="2"/>
  <c r="N30" i="2"/>
  <c r="N31" i="2"/>
  <c r="M31" i="2"/>
  <c r="M32" i="2"/>
  <c r="N32" i="2"/>
  <c r="M33" i="2"/>
  <c r="N33" i="2"/>
  <c r="N7" i="2"/>
  <c r="J38" i="2" s="1"/>
  <c r="D6" i="3" s="1"/>
  <c r="J36" i="2"/>
  <c r="B6" i="3" s="1"/>
  <c r="M7" i="2"/>
  <c r="J37" i="2" s="1"/>
  <c r="C6" i="3" s="1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F36" i="2"/>
  <c r="B5" i="3" s="1"/>
  <c r="I6" i="2"/>
  <c r="F37" i="2" s="1"/>
  <c r="C5" i="3" s="1"/>
  <c r="J6" i="2"/>
  <c r="F38" i="2" s="1"/>
  <c r="D5" i="3" s="1"/>
  <c r="E6" i="2"/>
  <c r="F6" i="2"/>
  <c r="E7" i="2"/>
  <c r="F7" i="2"/>
  <c r="F8" i="2"/>
  <c r="E8" i="2"/>
  <c r="E9" i="2"/>
  <c r="F9" i="2"/>
  <c r="E10" i="2"/>
  <c r="F10" i="2"/>
  <c r="E11" i="2"/>
  <c r="F11" i="2"/>
  <c r="F12" i="2"/>
  <c r="E12" i="2"/>
  <c r="E13" i="2"/>
  <c r="F13" i="2"/>
  <c r="E14" i="2"/>
  <c r="F14" i="2"/>
  <c r="E15" i="2"/>
  <c r="F15" i="2"/>
  <c r="E16" i="2"/>
  <c r="F16" i="2"/>
  <c r="F17" i="2"/>
  <c r="E17" i="2"/>
  <c r="E18" i="2"/>
  <c r="F18" i="2"/>
  <c r="F19" i="2"/>
  <c r="E19" i="2"/>
  <c r="F20" i="2"/>
  <c r="E20" i="2"/>
  <c r="E21" i="2"/>
  <c r="F21" i="2"/>
  <c r="E22" i="2"/>
  <c r="F22" i="2"/>
  <c r="E23" i="2"/>
  <c r="F23" i="2"/>
  <c r="E24" i="2"/>
  <c r="F24" i="2"/>
  <c r="E25" i="2"/>
  <c r="F25" i="2"/>
  <c r="F26" i="2"/>
  <c r="E26" i="2"/>
  <c r="E27" i="2"/>
  <c r="F27" i="2"/>
  <c r="F28" i="2"/>
  <c r="E28" i="2"/>
  <c r="F29" i="2"/>
  <c r="E29" i="2"/>
  <c r="E30" i="2"/>
  <c r="F30" i="2"/>
  <c r="F31" i="2"/>
  <c r="E31" i="2"/>
  <c r="F32" i="2"/>
  <c r="E32" i="2"/>
  <c r="E33" i="2"/>
  <c r="F33" i="2"/>
  <c r="B36" i="2"/>
  <c r="B4" i="3" s="1"/>
  <c r="E5" i="2"/>
  <c r="B37" i="2" s="1"/>
  <c r="C4" i="3" s="1"/>
  <c r="F5" i="2"/>
  <c r="G5" i="1"/>
  <c r="S5" i="2"/>
  <c r="T5" i="2" s="1"/>
  <c r="N37" i="2" l="1"/>
  <c r="C7" i="3" s="1"/>
  <c r="N38" i="2"/>
  <c r="D7" i="3" s="1"/>
  <c r="B38" i="2"/>
  <c r="D4" i="3" s="1"/>
  <c r="S6" i="2"/>
  <c r="T6" i="2" s="1"/>
  <c r="G6" i="1"/>
  <c r="U5" i="2"/>
  <c r="V5" i="2"/>
  <c r="V6" i="2" l="1"/>
  <c r="U6" i="2"/>
  <c r="S7" i="2"/>
  <c r="T7" i="2" s="1"/>
  <c r="G7" i="1"/>
  <c r="U7" i="2" l="1"/>
  <c r="V7" i="2"/>
  <c r="S8" i="2"/>
  <c r="T8" i="2" s="1"/>
  <c r="G8" i="1"/>
  <c r="U8" i="2" l="1"/>
  <c r="V8" i="2"/>
  <c r="S9" i="2"/>
  <c r="T9" i="2" s="1"/>
  <c r="G9" i="1"/>
  <c r="U9" i="2" l="1"/>
  <c r="V9" i="2"/>
  <c r="S10" i="2"/>
  <c r="T10" i="2" s="1"/>
  <c r="G10" i="1"/>
  <c r="U10" i="2" l="1"/>
  <c r="V10" i="2"/>
  <c r="S11" i="2"/>
  <c r="T11" i="2" s="1"/>
  <c r="G11" i="1"/>
  <c r="U11" i="2" l="1"/>
  <c r="V11" i="2"/>
  <c r="S12" i="2"/>
  <c r="T12" i="2" s="1"/>
  <c r="G12" i="1"/>
  <c r="U12" i="2" l="1"/>
  <c r="V12" i="2"/>
  <c r="S13" i="2"/>
  <c r="T13" i="2" s="1"/>
  <c r="G13" i="1"/>
  <c r="U13" i="2" l="1"/>
  <c r="V13" i="2"/>
  <c r="S14" i="2"/>
  <c r="T14" i="2" s="1"/>
  <c r="G14" i="1"/>
  <c r="U14" i="2" l="1"/>
  <c r="V14" i="2"/>
  <c r="S15" i="2"/>
  <c r="T15" i="2" s="1"/>
  <c r="G15" i="1"/>
  <c r="U15" i="2" l="1"/>
  <c r="V15" i="2"/>
  <c r="S16" i="2"/>
  <c r="T16" i="2" s="1"/>
  <c r="G16" i="1"/>
  <c r="U16" i="2" l="1"/>
  <c r="V16" i="2"/>
  <c r="S17" i="2"/>
  <c r="T17" i="2" s="1"/>
  <c r="G17" i="1"/>
  <c r="U17" i="2" l="1"/>
  <c r="V17" i="2"/>
  <c r="S18" i="2"/>
  <c r="T18" i="2" s="1"/>
  <c r="G18" i="1"/>
  <c r="U18" i="2" l="1"/>
  <c r="V18" i="2"/>
  <c r="S19" i="2"/>
  <c r="T19" i="2" s="1"/>
  <c r="G19" i="1"/>
  <c r="U19" i="2" l="1"/>
  <c r="V19" i="2"/>
  <c r="S20" i="2"/>
  <c r="T20" i="2" s="1"/>
  <c r="G20" i="1"/>
  <c r="U20" i="2" l="1"/>
  <c r="V20" i="2"/>
  <c r="S21" i="2"/>
  <c r="T21" i="2" s="1"/>
  <c r="G21" i="1"/>
  <c r="U21" i="2" l="1"/>
  <c r="V21" i="2"/>
  <c r="S22" i="2"/>
  <c r="T22" i="2" s="1"/>
  <c r="G22" i="1"/>
  <c r="U22" i="2" l="1"/>
  <c r="V22" i="2"/>
  <c r="S23" i="2"/>
  <c r="T23" i="2" s="1"/>
  <c r="G23" i="1"/>
  <c r="U23" i="2" l="1"/>
  <c r="V23" i="2"/>
  <c r="S24" i="2"/>
  <c r="T24" i="2" s="1"/>
  <c r="G24" i="1"/>
  <c r="U24" i="2" l="1"/>
  <c r="V24" i="2"/>
  <c r="S25" i="2"/>
  <c r="T25" i="2" s="1"/>
  <c r="G25" i="1"/>
  <c r="U25" i="2" l="1"/>
  <c r="V25" i="2"/>
  <c r="S26" i="2"/>
  <c r="T26" i="2" s="1"/>
  <c r="G26" i="1"/>
  <c r="U26" i="2" l="1"/>
  <c r="V26" i="2"/>
  <c r="S27" i="2"/>
  <c r="T27" i="2" s="1"/>
  <c r="G27" i="1"/>
  <c r="U27" i="2" l="1"/>
  <c r="V27" i="2"/>
  <c r="S28" i="2"/>
  <c r="T28" i="2" s="1"/>
  <c r="G28" i="1"/>
  <c r="U28" i="2" l="1"/>
  <c r="V28" i="2"/>
  <c r="S29" i="2"/>
  <c r="T29" i="2" s="1"/>
  <c r="G29" i="1"/>
  <c r="U29" i="2" l="1"/>
  <c r="V29" i="2"/>
  <c r="S30" i="2"/>
  <c r="T30" i="2" s="1"/>
  <c r="G30" i="1"/>
  <c r="U30" i="2" l="1"/>
  <c r="V30" i="2"/>
  <c r="S31" i="2"/>
  <c r="T31" i="2" s="1"/>
  <c r="G31" i="1"/>
  <c r="U31" i="2" l="1"/>
  <c r="V31" i="2"/>
  <c r="S32" i="2"/>
  <c r="T32" i="2" s="1"/>
  <c r="G32" i="1"/>
  <c r="U32" i="2" l="1"/>
  <c r="V32" i="2"/>
  <c r="S33" i="2"/>
  <c r="T33" i="2" s="1"/>
  <c r="G33" i="1"/>
  <c r="S34" i="2" s="1"/>
  <c r="R36" i="2" l="1"/>
  <c r="B8" i="3" s="1"/>
  <c r="U33" i="2"/>
  <c r="R37" i="2" s="1"/>
  <c r="C8" i="3" s="1"/>
  <c r="V33" i="2"/>
  <c r="R38" i="2" s="1"/>
  <c r="D8" i="3" s="1"/>
</calcChain>
</file>

<file path=xl/sharedStrings.xml><?xml version="1.0" encoding="utf-8"?>
<sst xmlns="http://schemas.openxmlformats.org/spreadsheetml/2006/main" count="57" uniqueCount="34">
  <si>
    <t>Period</t>
  </si>
  <si>
    <t>Demand</t>
  </si>
  <si>
    <t>Naive Forecast</t>
  </si>
  <si>
    <t>Cumulative Mean</t>
  </si>
  <si>
    <t>Moving Average (N=3)</t>
  </si>
  <si>
    <t>Moving Average (N=5)</t>
  </si>
  <si>
    <t>Exponential Smoothing Forecast</t>
  </si>
  <si>
    <t>Section 1: Forecast_Model Purpose: Calculations only</t>
  </si>
  <si>
    <t>Product A</t>
  </si>
  <si>
    <t>Mean Error (ME):</t>
  </si>
  <si>
    <t>Mean Absolute Percent Error (MAPE):</t>
  </si>
  <si>
    <t>Mean Squared Error (MSE):</t>
  </si>
  <si>
    <t>Forecast</t>
  </si>
  <si>
    <t>Error</t>
  </si>
  <si>
    <t>Abs % Error</t>
  </si>
  <si>
    <t>Squared Error</t>
  </si>
  <si>
    <t>Naïve Forecast</t>
  </si>
  <si>
    <t>Alpha (Exponential Smoothing)</t>
  </si>
  <si>
    <t>Alpha_ES:</t>
  </si>
  <si>
    <t>Section 2: Forecast_Errors Purpose: Error calculation &amp; accuracy evaluation</t>
  </si>
  <si>
    <t>Section 3: Method_Comparison &amp; Selection</t>
  </si>
  <si>
    <t>Method</t>
  </si>
  <si>
    <t>ME</t>
  </si>
  <si>
    <t>MAPE</t>
  </si>
  <si>
    <t>MSE</t>
  </si>
  <si>
    <t>Naïve</t>
  </si>
  <si>
    <t>MA (3)</t>
  </si>
  <si>
    <t>MA (5)</t>
  </si>
  <si>
    <t>Exp. Smoothing (α = 0.5)</t>
  </si>
  <si>
    <t>Section 4 (optional, recommended): Forecast_Methods_Reference</t>
  </si>
  <si>
    <t>Naïve  Forecast</t>
  </si>
  <si>
    <t>Exponential Smoothing</t>
  </si>
  <si>
    <t>Moving Average Forecast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</si>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</sst>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0F1114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b/>
      <i/>
      <sz val="11"/>
      <color theme="9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/>
    <xf numFmtId="0" fontId="16" fillId="0" borderId="0" xfId="0" applyFont="1"/>
    <xf numFmtId="0" fontId="0" fillId="0" borderId="0" xfId="0" applyAlignment="1">
      <alignment horizontal="centerContinuous"/>
    </xf>
    <xf numFmtId="0" fontId="22" fillId="0" borderId="0" xfId="0" applyFont="1" applyAlignment="1">
      <alignment horizontal="centerContinuous"/>
    </xf>
    <xf numFmtId="2" fontId="0" fillId="0" borderId="0" xfId="0" applyNumberFormat="1"/>
    <xf numFmtId="10" fontId="0" fillId="0" borderId="0" xfId="42" applyNumberFormat="1" applyFont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10" fontId="16" fillId="0" borderId="0" xfId="42" applyNumberFormat="1" applyFont="1" applyBorder="1"/>
    <xf numFmtId="0" fontId="16" fillId="0" borderId="11" xfId="0" applyFont="1" applyBorder="1"/>
    <xf numFmtId="2" fontId="16" fillId="0" borderId="11" xfId="0" applyNumberFormat="1" applyFont="1" applyBorder="1"/>
    <xf numFmtId="0" fontId="16" fillId="0" borderId="10" xfId="0" applyFont="1" applyBorder="1"/>
    <xf numFmtId="2" fontId="16" fillId="0" borderId="10" xfId="0" applyNumberFormat="1" applyFont="1" applyBorder="1"/>
    <xf numFmtId="2" fontId="0" fillId="0" borderId="0" xfId="0" applyNumberFormat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Alignment="1">
      <alignment vertical="center" wrapText="1"/>
    </xf>
    <xf numFmtId="10" fontId="23" fillId="0" borderId="0" xfId="0" applyNumberFormat="1" applyFont="1" applyAlignment="1">
      <alignment vertical="center" wrapText="1"/>
    </xf>
    <xf numFmtId="0" fontId="23" fillId="0" borderId="0" xfId="0" applyFont="1"/>
    <xf numFmtId="0" fontId="16" fillId="0" borderId="0" xfId="0" applyFont="1" applyAlignment="1">
      <alignment horizontal="center" vertical="center" wrapText="1"/>
    </xf>
    <xf numFmtId="10" fontId="16" fillId="33" borderId="0" xfId="42" applyNumberFormat="1" applyFont="1" applyFill="1" applyBorder="1"/>
    <xf numFmtId="2" fontId="16" fillId="33" borderId="10" xfId="0" applyNumberFormat="1" applyFont="1" applyFill="1" applyBorder="1"/>
    <xf numFmtId="0" fontId="21" fillId="33" borderId="0" xfId="0" applyFont="1" applyFill="1" applyAlignment="1">
      <alignment horizontal="centerContinuous"/>
    </xf>
    <xf numFmtId="0" fontId="18" fillId="33" borderId="0" xfId="0" applyFont="1" applyFill="1" applyAlignment="1">
      <alignment horizontal="centerContinuous"/>
    </xf>
    <xf numFmtId="0" fontId="20" fillId="33" borderId="0" xfId="0" applyFont="1" applyFill="1"/>
    <xf numFmtId="0" fontId="19" fillId="33" borderId="0" xfId="0" applyFont="1" applyFill="1" applyAlignment="1">
      <alignment vertical="center"/>
    </xf>
    <xf numFmtId="0" fontId="22" fillId="33" borderId="0" xfId="0" applyFont="1" applyFill="1" applyAlignment="1">
      <alignment horizontal="centerContinuous"/>
    </xf>
    <xf numFmtId="0" fontId="0" fillId="33" borderId="0" xfId="0" applyFill="1" applyAlignment="1">
      <alignment horizontal="centerContinuous"/>
    </xf>
    <xf numFmtId="0" fontId="16" fillId="33" borderId="0" xfId="0" applyFont="1" applyFill="1"/>
    <xf numFmtId="0" fontId="16" fillId="33" borderId="0" xfId="0" applyFont="1" applyFill="1" applyAlignment="1">
      <alignment horizontal="centerContinuous"/>
    </xf>
    <xf numFmtId="0" fontId="19" fillId="33" borderId="0" xfId="0" applyFont="1" applyFill="1" applyAlignment="1">
      <alignment horizontal="centerContinuous" vertical="center"/>
    </xf>
    <xf numFmtId="0" fontId="19" fillId="34" borderId="0" xfId="0" applyFont="1" applyFill="1" applyAlignment="1">
      <alignment horizontal="centerContinuous" vertical="center"/>
    </xf>
    <xf numFmtId="0" fontId="20" fillId="3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Demand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and Forecast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4201913077265E-2"/>
          <c:y val="0.15296610169491526"/>
          <c:w val="0.75707495743003095"/>
          <c:h val="0.65214667022554385"/>
        </c:manualLayout>
      </c:layout>
      <c:lineChart>
        <c:grouping val="standard"/>
        <c:varyColors val="0"/>
        <c:ser>
          <c:idx val="0"/>
          <c:order val="0"/>
          <c:tx>
            <c:strRef>
              <c:f>Forecast_Model!$B$2</c:f>
              <c:strCache>
                <c:ptCount val="1"/>
                <c:pt idx="0">
                  <c:v>Demand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Forecast_Model!$A$3:$A$33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Forecast_Model!$B$3:$B$33</c:f>
              <c:numCache>
                <c:formatCode>General</c:formatCode>
                <c:ptCount val="31"/>
                <c:pt idx="0">
                  <c:v>96</c:v>
                </c:pt>
                <c:pt idx="1">
                  <c:v>98</c:v>
                </c:pt>
                <c:pt idx="2">
                  <c:v>103</c:v>
                </c:pt>
                <c:pt idx="3">
                  <c:v>97</c:v>
                </c:pt>
                <c:pt idx="4">
                  <c:v>104</c:v>
                </c:pt>
                <c:pt idx="5">
                  <c:v>96</c:v>
                </c:pt>
                <c:pt idx="6">
                  <c:v>103</c:v>
                </c:pt>
                <c:pt idx="7">
                  <c:v>103</c:v>
                </c:pt>
                <c:pt idx="8">
                  <c:v>103</c:v>
                </c:pt>
                <c:pt idx="9">
                  <c:v>103</c:v>
                </c:pt>
                <c:pt idx="10">
                  <c:v>99</c:v>
                </c:pt>
                <c:pt idx="11">
                  <c:v>103</c:v>
                </c:pt>
                <c:pt idx="12">
                  <c:v>100</c:v>
                </c:pt>
                <c:pt idx="13">
                  <c:v>105</c:v>
                </c:pt>
                <c:pt idx="14">
                  <c:v>96</c:v>
                </c:pt>
                <c:pt idx="15">
                  <c:v>97</c:v>
                </c:pt>
                <c:pt idx="16">
                  <c:v>103</c:v>
                </c:pt>
                <c:pt idx="17">
                  <c:v>100</c:v>
                </c:pt>
                <c:pt idx="18">
                  <c:v>102</c:v>
                </c:pt>
                <c:pt idx="19">
                  <c:v>100</c:v>
                </c:pt>
                <c:pt idx="20">
                  <c:v>97</c:v>
                </c:pt>
                <c:pt idx="21">
                  <c:v>99</c:v>
                </c:pt>
                <c:pt idx="22">
                  <c:v>95</c:v>
                </c:pt>
                <c:pt idx="23">
                  <c:v>99</c:v>
                </c:pt>
                <c:pt idx="24">
                  <c:v>102</c:v>
                </c:pt>
                <c:pt idx="25">
                  <c:v>105</c:v>
                </c:pt>
                <c:pt idx="26">
                  <c:v>100</c:v>
                </c:pt>
                <c:pt idx="27">
                  <c:v>96</c:v>
                </c:pt>
                <c:pt idx="28">
                  <c:v>101</c:v>
                </c:pt>
                <c:pt idx="2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F-4F0A-81E3-8D1DFBD92994}"/>
            </c:ext>
          </c:extLst>
        </c:ser>
        <c:ser>
          <c:idx val="1"/>
          <c:order val="1"/>
          <c:tx>
            <c:strRef>
              <c:f>Forecast_Model!$C$2</c:f>
              <c:strCache>
                <c:ptCount val="1"/>
                <c:pt idx="0">
                  <c:v>Naive Forecast</c:v>
                </c:pt>
              </c:strCache>
            </c:strRef>
          </c:tx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Forecast_Model!$A$3:$A$33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Forecast_Model!$C$3:$C$33</c:f>
              <c:numCache>
                <c:formatCode>General</c:formatCode>
                <c:ptCount val="31"/>
                <c:pt idx="1">
                  <c:v>96</c:v>
                </c:pt>
                <c:pt idx="2">
                  <c:v>98</c:v>
                </c:pt>
                <c:pt idx="3">
                  <c:v>103</c:v>
                </c:pt>
                <c:pt idx="4">
                  <c:v>97</c:v>
                </c:pt>
                <c:pt idx="5">
                  <c:v>104</c:v>
                </c:pt>
                <c:pt idx="6">
                  <c:v>96</c:v>
                </c:pt>
                <c:pt idx="7">
                  <c:v>103</c:v>
                </c:pt>
                <c:pt idx="8">
                  <c:v>103</c:v>
                </c:pt>
                <c:pt idx="9">
                  <c:v>103</c:v>
                </c:pt>
                <c:pt idx="10">
                  <c:v>103</c:v>
                </c:pt>
                <c:pt idx="11">
                  <c:v>99</c:v>
                </c:pt>
                <c:pt idx="12">
                  <c:v>103</c:v>
                </c:pt>
                <c:pt idx="13">
                  <c:v>100</c:v>
                </c:pt>
                <c:pt idx="14">
                  <c:v>105</c:v>
                </c:pt>
                <c:pt idx="15">
                  <c:v>96</c:v>
                </c:pt>
                <c:pt idx="16">
                  <c:v>97</c:v>
                </c:pt>
                <c:pt idx="17">
                  <c:v>103</c:v>
                </c:pt>
                <c:pt idx="18">
                  <c:v>100</c:v>
                </c:pt>
                <c:pt idx="19">
                  <c:v>102</c:v>
                </c:pt>
                <c:pt idx="20">
                  <c:v>100</c:v>
                </c:pt>
                <c:pt idx="21">
                  <c:v>97</c:v>
                </c:pt>
                <c:pt idx="22">
                  <c:v>99</c:v>
                </c:pt>
                <c:pt idx="23">
                  <c:v>95</c:v>
                </c:pt>
                <c:pt idx="24">
                  <c:v>99</c:v>
                </c:pt>
                <c:pt idx="25">
                  <c:v>102</c:v>
                </c:pt>
                <c:pt idx="26">
                  <c:v>105</c:v>
                </c:pt>
                <c:pt idx="27">
                  <c:v>100</c:v>
                </c:pt>
                <c:pt idx="28">
                  <c:v>96</c:v>
                </c:pt>
                <c:pt idx="29">
                  <c:v>101</c:v>
                </c:pt>
                <c:pt idx="30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F-4F0A-81E3-8D1DFBD92994}"/>
            </c:ext>
          </c:extLst>
        </c:ser>
        <c:ser>
          <c:idx val="2"/>
          <c:order val="2"/>
          <c:tx>
            <c:strRef>
              <c:f>Forecast_Model!$D$2</c:f>
              <c:strCache>
                <c:ptCount val="1"/>
                <c:pt idx="0">
                  <c:v>Cumulative Mean</c:v>
                </c:pt>
              </c:strCache>
            </c:strRef>
          </c:tx>
          <c:spPr>
            <a:ln w="2540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Forecast_Model!$A$3:$A$33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Forecast_Model!$D$3:$D$33</c:f>
              <c:numCache>
                <c:formatCode>General</c:formatCode>
                <c:ptCount val="31"/>
                <c:pt idx="2">
                  <c:v>97</c:v>
                </c:pt>
                <c:pt idx="3">
                  <c:v>99</c:v>
                </c:pt>
                <c:pt idx="4">
                  <c:v>99</c:v>
                </c:pt>
                <c:pt idx="5">
                  <c:v>100</c:v>
                </c:pt>
                <c:pt idx="6">
                  <c:v>99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101</c:v>
                </c:pt>
                <c:pt idx="11">
                  <c:v>100</c:v>
                </c:pt>
                <c:pt idx="12">
                  <c:v>101</c:v>
                </c:pt>
                <c:pt idx="13">
                  <c:v>101</c:v>
                </c:pt>
                <c:pt idx="14">
                  <c:v>101</c:v>
                </c:pt>
                <c:pt idx="15">
                  <c:v>101</c:v>
                </c:pt>
                <c:pt idx="16">
                  <c:v>100</c:v>
                </c:pt>
                <c:pt idx="17">
                  <c:v>101</c:v>
                </c:pt>
                <c:pt idx="18">
                  <c:v>101</c:v>
                </c:pt>
                <c:pt idx="19">
                  <c:v>101</c:v>
                </c:pt>
                <c:pt idx="20">
                  <c:v>101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6F-4F0A-81E3-8D1DFBD92994}"/>
            </c:ext>
          </c:extLst>
        </c:ser>
        <c:ser>
          <c:idx val="3"/>
          <c:order val="3"/>
          <c:tx>
            <c:strRef>
              <c:f>Forecast_Model!$E$2</c:f>
              <c:strCache>
                <c:ptCount val="1"/>
                <c:pt idx="0">
                  <c:v>Moving Average (N=3)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Forecast_Model!$A$3:$A$33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Forecast_Model!$E$3:$E$33</c:f>
              <c:numCache>
                <c:formatCode>General</c:formatCode>
                <c:ptCount val="31"/>
                <c:pt idx="3">
                  <c:v>99</c:v>
                </c:pt>
                <c:pt idx="4">
                  <c:v>99</c:v>
                </c:pt>
                <c:pt idx="5">
                  <c:v>101</c:v>
                </c:pt>
                <c:pt idx="6">
                  <c:v>99</c:v>
                </c:pt>
                <c:pt idx="7">
                  <c:v>101</c:v>
                </c:pt>
                <c:pt idx="8">
                  <c:v>101</c:v>
                </c:pt>
                <c:pt idx="9">
                  <c:v>103</c:v>
                </c:pt>
                <c:pt idx="10">
                  <c:v>103</c:v>
                </c:pt>
                <c:pt idx="11">
                  <c:v>102</c:v>
                </c:pt>
                <c:pt idx="12">
                  <c:v>102</c:v>
                </c:pt>
                <c:pt idx="13">
                  <c:v>101</c:v>
                </c:pt>
                <c:pt idx="14">
                  <c:v>103</c:v>
                </c:pt>
                <c:pt idx="15">
                  <c:v>100</c:v>
                </c:pt>
                <c:pt idx="16">
                  <c:v>99</c:v>
                </c:pt>
                <c:pt idx="17">
                  <c:v>99</c:v>
                </c:pt>
                <c:pt idx="18">
                  <c:v>100</c:v>
                </c:pt>
                <c:pt idx="19">
                  <c:v>102</c:v>
                </c:pt>
                <c:pt idx="20">
                  <c:v>101</c:v>
                </c:pt>
                <c:pt idx="21">
                  <c:v>100</c:v>
                </c:pt>
                <c:pt idx="22">
                  <c:v>99</c:v>
                </c:pt>
                <c:pt idx="23">
                  <c:v>97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102</c:v>
                </c:pt>
                <c:pt idx="28">
                  <c:v>100</c:v>
                </c:pt>
                <c:pt idx="29">
                  <c:v>99</c:v>
                </c:pt>
                <c:pt idx="30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6F-4F0A-81E3-8D1DFBD92994}"/>
            </c:ext>
          </c:extLst>
        </c:ser>
        <c:ser>
          <c:idx val="4"/>
          <c:order val="4"/>
          <c:tx>
            <c:strRef>
              <c:f>Forecast_Model!$F$2</c:f>
              <c:strCache>
                <c:ptCount val="1"/>
                <c:pt idx="0">
                  <c:v>Moving Average (N=5)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Forecast_Model!$A$3:$A$33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Forecast_Model!$F$3:$F$33</c:f>
              <c:numCache>
                <c:formatCode>General</c:formatCode>
                <c:ptCount val="31"/>
                <c:pt idx="5">
                  <c:v>100</c:v>
                </c:pt>
                <c:pt idx="6">
                  <c:v>100</c:v>
                </c:pt>
                <c:pt idx="7">
                  <c:v>101</c:v>
                </c:pt>
                <c:pt idx="8">
                  <c:v>101</c:v>
                </c:pt>
                <c:pt idx="9">
                  <c:v>102</c:v>
                </c:pt>
                <c:pt idx="10">
                  <c:v>102</c:v>
                </c:pt>
                <c:pt idx="11">
                  <c:v>102</c:v>
                </c:pt>
                <c:pt idx="12">
                  <c:v>102</c:v>
                </c:pt>
                <c:pt idx="13">
                  <c:v>102</c:v>
                </c:pt>
                <c:pt idx="14">
                  <c:v>102</c:v>
                </c:pt>
                <c:pt idx="15">
                  <c:v>101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99</c:v>
                </c:pt>
                <c:pt idx="24">
                  <c:v>98</c:v>
                </c:pt>
                <c:pt idx="25">
                  <c:v>98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101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6F-4F0A-81E3-8D1DFBD92994}"/>
            </c:ext>
          </c:extLst>
        </c:ser>
        <c:ser>
          <c:idx val="5"/>
          <c:order val="5"/>
          <c:tx>
            <c:strRef>
              <c:f>Forecast_Model!$G$2</c:f>
              <c:strCache>
                <c:ptCount val="1"/>
                <c:pt idx="0">
                  <c:v>Exponential Smoothing Forecast</c:v>
                </c:pt>
              </c:strCache>
            </c:strRef>
          </c:tx>
          <c:spPr>
            <a:ln w="254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Forecast_Model!$A$3:$A$33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Forecast_Model!$G$3:$G$33</c:f>
              <c:numCache>
                <c:formatCode>General</c:formatCode>
                <c:ptCount val="31"/>
                <c:pt idx="0">
                  <c:v>96</c:v>
                </c:pt>
                <c:pt idx="1">
                  <c:v>96</c:v>
                </c:pt>
                <c:pt idx="2">
                  <c:v>97</c:v>
                </c:pt>
                <c:pt idx="3">
                  <c:v>100</c:v>
                </c:pt>
                <c:pt idx="4">
                  <c:v>99</c:v>
                </c:pt>
                <c:pt idx="5">
                  <c:v>102</c:v>
                </c:pt>
                <c:pt idx="6">
                  <c:v>99</c:v>
                </c:pt>
                <c:pt idx="7">
                  <c:v>101</c:v>
                </c:pt>
                <c:pt idx="8">
                  <c:v>102</c:v>
                </c:pt>
                <c:pt idx="9">
                  <c:v>103</c:v>
                </c:pt>
                <c:pt idx="10">
                  <c:v>103</c:v>
                </c:pt>
                <c:pt idx="11">
                  <c:v>101</c:v>
                </c:pt>
                <c:pt idx="12">
                  <c:v>102</c:v>
                </c:pt>
                <c:pt idx="13">
                  <c:v>101</c:v>
                </c:pt>
                <c:pt idx="14">
                  <c:v>103</c:v>
                </c:pt>
                <c:pt idx="15">
                  <c:v>100</c:v>
                </c:pt>
                <c:pt idx="16">
                  <c:v>99</c:v>
                </c:pt>
                <c:pt idx="17">
                  <c:v>101</c:v>
                </c:pt>
                <c:pt idx="18">
                  <c:v>101</c:v>
                </c:pt>
                <c:pt idx="19">
                  <c:v>102</c:v>
                </c:pt>
                <c:pt idx="20">
                  <c:v>101</c:v>
                </c:pt>
                <c:pt idx="21">
                  <c:v>99</c:v>
                </c:pt>
                <c:pt idx="22">
                  <c:v>99</c:v>
                </c:pt>
                <c:pt idx="23">
                  <c:v>97</c:v>
                </c:pt>
                <c:pt idx="24">
                  <c:v>98</c:v>
                </c:pt>
                <c:pt idx="25">
                  <c:v>100</c:v>
                </c:pt>
                <c:pt idx="26">
                  <c:v>103</c:v>
                </c:pt>
                <c:pt idx="27">
                  <c:v>102</c:v>
                </c:pt>
                <c:pt idx="28">
                  <c:v>99</c:v>
                </c:pt>
                <c:pt idx="29">
                  <c:v>100</c:v>
                </c:pt>
                <c:pt idx="30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6F-4F0A-81E3-8D1DFBD92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413951"/>
        <c:axId val="894406751"/>
      </c:lineChart>
      <c:catAx>
        <c:axId val="89441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Period</a:t>
                </a:r>
              </a:p>
            </c:rich>
          </c:tx>
          <c:layout>
            <c:manualLayout>
              <c:xMode val="edge"/>
              <c:yMode val="edge"/>
              <c:x val="0.45341176177205877"/>
              <c:y val="0.87171358975811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94406751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89440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9441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134338251259944"/>
          <c:y val="9.0392567835495419E-3"/>
          <c:w val="0.14707312892129412"/>
          <c:h val="0.983777828131195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33</xdr:row>
      <xdr:rowOff>63500</xdr:rowOff>
    </xdr:from>
    <xdr:to>
      <xdr:col>7</xdr:col>
      <xdr:colOff>641350</xdr:colOff>
      <xdr:row>53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4838F9-06E6-EBCF-F948-E9860CFFB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88900</xdr:colOff>
      <xdr:row>54</xdr:row>
      <xdr:rowOff>133350</xdr:rowOff>
    </xdr:from>
    <xdr:to>
      <xdr:col>5</xdr:col>
      <xdr:colOff>31750</xdr:colOff>
      <xdr:row>59</xdr:row>
      <xdr:rowOff>6350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CA5D82-7B79-B1CC-BE6E-F6D2157FDAA5}"/>
            </a:ext>
          </a:extLst>
        </xdr:cNvPr>
        <xdr:cNvSpPr txBox="1"/>
      </xdr:nvSpPr>
      <xdr:spPr>
        <a:xfrm>
          <a:off x="88900" y="9817100"/>
          <a:ext cx="4603750" cy="7620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Line chart compares forecast responsiveness and smoothing behavior across methods. Exponential smoothing uses </a:t>
          </a:r>
          <a:r>
            <a:rPr lang="el-GR" sz="1200" b="1">
              <a:latin typeface="Times New Roman" panose="02020603050405020304" pitchFamily="18" charset="0"/>
              <a:cs typeface="Times New Roman" panose="02020603050405020304" pitchFamily="18" charset="0"/>
            </a:rPr>
            <a:t>α = 0.5; </a:t>
          </a:r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adjusting </a:t>
          </a:r>
          <a:r>
            <a:rPr lang="el-GR" sz="1200" b="1">
              <a:latin typeface="Times New Roman" panose="02020603050405020304" pitchFamily="18" charset="0"/>
              <a:cs typeface="Times New Roman" panose="02020603050405020304" pitchFamily="18" charset="0"/>
            </a:rPr>
            <a:t>α </a:t>
          </a:r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will dynamically update the forecast and chart.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12700</xdr:rowOff>
    </xdr:from>
    <xdr:to>
      <xdr:col>3</xdr:col>
      <xdr:colOff>400246</xdr:colOff>
      <xdr:row>40</xdr:row>
      <xdr:rowOff>101614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6B6A7C-DB4C-3DCB-1042-348A79205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0" y="7277100"/>
          <a:ext cx="3816546" cy="27306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0</xdr:col>
      <xdr:colOff>50800</xdr:colOff>
      <xdr:row>41</xdr:row>
      <xdr:rowOff>152400</xdr:rowOff>
    </xdr:from>
    <xdr:to>
      <xdr:col>4</xdr:col>
      <xdr:colOff>12700</xdr:colOff>
      <xdr:row>44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2366E8-C13A-7FFE-3E03-F0CAC8B71E93}"/>
            </a:ext>
          </a:extLst>
        </xdr:cNvPr>
        <xdr:cNvSpPr txBox="1"/>
      </xdr:nvSpPr>
      <xdr:spPr>
        <a:xfrm>
          <a:off x="50800" y="7791450"/>
          <a:ext cx="3790950" cy="4635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Best Accuracy (Lowest MAPE):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 Moving Average (N=5)</a:t>
          </a:r>
          <a:b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Best Accuracy (Lowest MSE):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 Moving Average (N=5)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8</xdr:row>
      <xdr:rowOff>127000</xdr:rowOff>
    </xdr:from>
    <xdr:to>
      <xdr:col>2</xdr:col>
      <xdr:colOff>1441600</xdr:colOff>
      <xdr:row>11</xdr:row>
      <xdr:rowOff>114328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F4BBDA-89B2-F6F5-ABDD-AF9EFDB51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6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1644650" y="1689100"/>
          <a:ext cx="2921150" cy="53977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1066800</xdr:colOff>
      <xdr:row>12</xdr:row>
      <xdr:rowOff>120650</xdr:rowOff>
    </xdr:from>
    <xdr:to>
      <xdr:col>3</xdr:col>
      <xdr:colOff>247849</xdr:colOff>
      <xdr:row>14</xdr:row>
      <xdr:rowOff>63516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F28E7D-33DE-459C-E324-856FAD645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1066800" y="2419350"/>
          <a:ext cx="3867349" cy="31116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717550</xdr:colOff>
      <xdr:row>15</xdr:row>
      <xdr:rowOff>63500</xdr:rowOff>
    </xdr:from>
    <xdr:to>
      <xdr:col>3</xdr:col>
      <xdr:colOff>571733</xdr:colOff>
      <xdr:row>16</xdr:row>
      <xdr:rowOff>152414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7B472F-F996-86BF-E9BA-C7B28E4D0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717550" y="2914650"/>
          <a:ext cx="4540483" cy="27306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596900</xdr:colOff>
      <xdr:row>3</xdr:row>
      <xdr:rowOff>44450</xdr:rowOff>
    </xdr:from>
    <xdr:to>
      <xdr:col>5</xdr:col>
      <xdr:colOff>133350</xdr:colOff>
      <xdr:row>7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E6EA9-D083-4BC3-AAE3-9DA1CC003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596900" y="679450"/>
          <a:ext cx="3587750" cy="7239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12700</xdr:colOff>
      <xdr:row>10</xdr:row>
      <xdr:rowOff>44450</xdr:rowOff>
    </xdr:from>
    <xdr:to>
      <xdr:col>5</xdr:col>
      <xdr:colOff>139700</xdr:colOff>
      <xdr:row>16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C14856-55AB-4103-9944-F3A145F8E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22300" y="1968500"/>
          <a:ext cx="3568700" cy="10795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603250</xdr:colOff>
      <xdr:row>18</xdr:row>
      <xdr:rowOff>31750</xdr:rowOff>
    </xdr:from>
    <xdr:to>
      <xdr:col>5</xdr:col>
      <xdr:colOff>88900</xdr:colOff>
      <xdr:row>23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FE42BC-5194-4968-98D0-E0AE54C5C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03250" y="3429000"/>
          <a:ext cx="3536950" cy="10604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0</xdr:colOff>
      <xdr:row>18</xdr:row>
      <xdr:rowOff>38100</xdr:rowOff>
    </xdr:from>
    <xdr:to>
      <xdr:col>12</xdr:col>
      <xdr:colOff>101600</xdr:colOff>
      <xdr:row>21</xdr:row>
      <xdr:rowOff>139700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FF4141-F855-48D1-853E-F2FBD6B04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5270500" y="3435350"/>
          <a:ext cx="4286250" cy="6540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590550</xdr:colOff>
      <xdr:row>5</xdr:row>
      <xdr:rowOff>12700</xdr:rowOff>
    </xdr:from>
    <xdr:to>
      <xdr:col>10</xdr:col>
      <xdr:colOff>235115</xdr:colOff>
      <xdr:row>15</xdr:row>
      <xdr:rowOff>44546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797000-732B-4865-9863-4EBE3B668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5194300" y="1016000"/>
          <a:ext cx="3219615" cy="187334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25401</xdr:colOff>
      <xdr:row>26</xdr:row>
      <xdr:rowOff>0</xdr:rowOff>
    </xdr:from>
    <xdr:to>
      <xdr:col>7</xdr:col>
      <xdr:colOff>1435101</xdr:colOff>
      <xdr:row>53</xdr:row>
      <xdr:rowOff>158750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A5D3BB1-9419-B166-7A19-BAB969CFD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35001" y="4870450"/>
          <a:ext cx="6070600" cy="51308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7</xdr:col>
      <xdr:colOff>12700</xdr:colOff>
      <xdr:row>1</xdr:row>
      <xdr:rowOff>127000</xdr:rowOff>
    </xdr:from>
    <xdr:to>
      <xdr:col>11</xdr:col>
      <xdr:colOff>596900</xdr:colOff>
      <xdr:row>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618C3B-BF6B-A739-25D4-087E8E1DB633}"/>
            </a:ext>
          </a:extLst>
        </xdr:cNvPr>
        <xdr:cNvSpPr txBox="1"/>
      </xdr:nvSpPr>
      <xdr:spPr>
        <a:xfrm>
          <a:off x="5226050" y="393700"/>
          <a:ext cx="4089400" cy="4635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This section summarizes forecasting and error formulas used throughout the workbook.</a:t>
          </a:r>
        </a:p>
      </xdr:txBody>
    </xdr:sp>
    <xdr:clientData/>
  </xdr:twoCellAnchor>
  <xdr:twoCellAnchor>
    <xdr:from>
      <xdr:col>7</xdr:col>
      <xdr:colOff>25400</xdr:colOff>
      <xdr:row>22</xdr:row>
      <xdr:rowOff>146050</xdr:rowOff>
    </xdr:from>
    <xdr:to>
      <xdr:col>10</xdr:col>
      <xdr:colOff>603250</xdr:colOff>
      <xdr:row>24</xdr:row>
      <xdr:rowOff>158750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6FA0A2-4363-B51E-BF7E-338724015B8B}"/>
            </a:ext>
          </a:extLst>
        </xdr:cNvPr>
        <xdr:cNvSpPr txBox="1"/>
      </xdr:nvSpPr>
      <xdr:spPr>
        <a:xfrm>
          <a:off x="5238750" y="4279900"/>
          <a:ext cx="3473450" cy="3810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N</a:t>
          </a:r>
          <a:r>
            <a:rPr lang="en-US"/>
            <a:t>: number of forecast–actual pairs used in error calculation</a:t>
          </a:r>
          <a:endParaRPr lang="en-US" sz="1100"/>
        </a:p>
      </xdr:txBody>
    </xdr:sp>
    <xdr:clientData/>
  </xdr:twoCellAnchor>
  <xdr:twoCellAnchor editAs="oneCell">
    <xdr:from>
      <xdr:col>1</xdr:col>
      <xdr:colOff>6350</xdr:colOff>
      <xdr:row>36</xdr:row>
      <xdr:rowOff>69851</xdr:rowOff>
    </xdr:from>
    <xdr:to>
      <xdr:col>7</xdr:col>
      <xdr:colOff>1422400</xdr:colOff>
      <xdr:row>44</xdr:row>
      <xdr:rowOff>76201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7F1612-AE56-C58E-0791-43D4341DE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5950" y="6781801"/>
          <a:ext cx="6076950" cy="14795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7796-43DC-41B8-A720-765E3D983985}">
  <dimension ref="A1:AE70"/>
  <sheetViews>
    <sheetView tabSelected="1" workbookViewId="0">
      <selection activeCell="J9" sqref="J9"/>
    </sheetView>
  </sheetViews>
  <sheetFormatPr defaultRowHeight="14" x14ac:dyDescent="0.3"/>
  <cols>
    <col min="1" max="1" width="11.36328125" style="1" bestFit="1" customWidth="1"/>
    <col min="2" max="2" width="9.54296875" style="1" bestFit="1" customWidth="1"/>
    <col min="3" max="3" width="13.81640625" style="1" bestFit="1" customWidth="1"/>
    <col min="4" max="4" width="16.26953125" style="1" bestFit="1" customWidth="1"/>
    <col min="5" max="6" width="20.6328125" style="1" bestFit="1" customWidth="1"/>
    <col min="7" max="7" width="29" style="1" bestFit="1" customWidth="1"/>
    <col min="8" max="8" width="9.54296875" style="1" bestFit="1" customWidth="1"/>
    <col min="9" max="9" width="13.81640625" style="1" bestFit="1" customWidth="1"/>
    <col min="10" max="10" width="16.26953125" style="1" bestFit="1" customWidth="1"/>
    <col min="11" max="12" width="20.6328125" style="1" bestFit="1" customWidth="1"/>
    <col min="13" max="13" width="29" style="1" bestFit="1" customWidth="1"/>
    <col min="14" max="14" width="9.6328125" style="1" bestFit="1" customWidth="1"/>
    <col min="15" max="15" width="13.81640625" style="1" bestFit="1" customWidth="1"/>
    <col min="16" max="16" width="16.26953125" style="1" bestFit="1" customWidth="1"/>
    <col min="17" max="18" width="20.6328125" style="1" bestFit="1" customWidth="1"/>
    <col min="19" max="19" width="29" style="1" bestFit="1" customWidth="1"/>
    <col min="20" max="20" width="9.6328125" style="1" bestFit="1" customWidth="1"/>
    <col min="21" max="21" width="13.81640625" style="1" bestFit="1" customWidth="1"/>
    <col min="22" max="22" width="16.26953125" style="1" bestFit="1" customWidth="1"/>
    <col min="23" max="24" width="20.6328125" style="1" bestFit="1" customWidth="1"/>
    <col min="25" max="25" width="29" style="1" bestFit="1" customWidth="1"/>
    <col min="26" max="26" width="9.54296875" style="1" bestFit="1" customWidth="1"/>
    <col min="27" max="27" width="13.81640625" style="1" bestFit="1" customWidth="1"/>
    <col min="28" max="28" width="16.26953125" style="1" bestFit="1" customWidth="1"/>
    <col min="29" max="30" width="20.6328125" style="1" bestFit="1" customWidth="1"/>
    <col min="31" max="31" width="29" style="1" bestFit="1" customWidth="1"/>
    <col min="32" max="16384" width="8.7265625" style="1"/>
  </cols>
  <sheetData>
    <row r="1" spans="1:31" ht="20" x14ac:dyDescent="0.4">
      <c r="A1" s="25" t="s">
        <v>7</v>
      </c>
      <c r="B1" s="26"/>
      <c r="C1" s="26"/>
      <c r="D1" s="26"/>
      <c r="E1" s="26"/>
      <c r="F1" s="26"/>
      <c r="G1" s="26"/>
    </row>
    <row r="2" spans="1:31" s="3" customFormat="1" x14ac:dyDescent="0.3">
      <c r="A2" s="27" t="s">
        <v>33</v>
      </c>
      <c r="B2" s="27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I2" s="34" t="s">
        <v>17</v>
      </c>
      <c r="J2" s="34"/>
      <c r="K2" s="2"/>
      <c r="L2" s="2"/>
      <c r="M2" s="2"/>
      <c r="O2" s="2"/>
      <c r="P2" s="2"/>
      <c r="Q2" s="2"/>
      <c r="R2" s="2"/>
      <c r="S2" s="2"/>
      <c r="U2" s="2"/>
      <c r="V2" s="2"/>
      <c r="W2" s="2"/>
      <c r="X2" s="2"/>
      <c r="Y2" s="2"/>
      <c r="AA2" s="2"/>
      <c r="AB2" s="2"/>
      <c r="AC2" s="2"/>
      <c r="AD2" s="2"/>
      <c r="AE2" s="2"/>
    </row>
    <row r="3" spans="1:31" ht="14.5" x14ac:dyDescent="0.35">
      <c r="A3" s="1">
        <v>1</v>
      </c>
      <c r="B3" s="1">
        <v>96</v>
      </c>
      <c r="C3"/>
      <c r="G3" s="1">
        <v>96</v>
      </c>
      <c r="I3" s="35" t="s">
        <v>18</v>
      </c>
      <c r="J3" s="35">
        <v>0.5</v>
      </c>
    </row>
    <row r="4" spans="1:31" x14ac:dyDescent="0.3">
      <c r="A4" s="1">
        <v>2</v>
      </c>
      <c r="B4" s="1">
        <v>98</v>
      </c>
      <c r="C4" s="1">
        <f>B3</f>
        <v>96</v>
      </c>
      <c r="G4" s="1">
        <f>ROUND($J$3*B3+(1-$J$3)*G3,0)</f>
        <v>96</v>
      </c>
    </row>
    <row r="5" spans="1:31" x14ac:dyDescent="0.3">
      <c r="A5" s="1">
        <v>3</v>
      </c>
      <c r="B5" s="1">
        <v>103</v>
      </c>
      <c r="C5" s="1">
        <f t="shared" ref="C5:C33" si="0">B4</f>
        <v>98</v>
      </c>
      <c r="D5" s="1">
        <f>ROUND(AVERAGE($B$3:B4),0)</f>
        <v>97</v>
      </c>
      <c r="G5" s="1">
        <f t="shared" ref="G5:G33" si="1">ROUND($J$3*B4+(1-$J$3)*G4,0)</f>
        <v>97</v>
      </c>
    </row>
    <row r="6" spans="1:31" x14ac:dyDescent="0.3">
      <c r="A6" s="1">
        <v>4</v>
      </c>
      <c r="B6" s="1">
        <v>97</v>
      </c>
      <c r="C6" s="1">
        <f t="shared" si="0"/>
        <v>103</v>
      </c>
      <c r="D6" s="1">
        <f>ROUND(AVERAGE($B$3:B5),0)</f>
        <v>99</v>
      </c>
      <c r="E6" s="1">
        <f>ROUND(AVERAGE(B3:B5),0)</f>
        <v>99</v>
      </c>
      <c r="G6" s="1">
        <f t="shared" si="1"/>
        <v>100</v>
      </c>
    </row>
    <row r="7" spans="1:31" x14ac:dyDescent="0.3">
      <c r="A7" s="1">
        <v>5</v>
      </c>
      <c r="B7" s="1">
        <v>104</v>
      </c>
      <c r="C7" s="1">
        <f t="shared" si="0"/>
        <v>97</v>
      </c>
      <c r="D7" s="1">
        <f>ROUND(AVERAGE($B$3:B6),0)</f>
        <v>99</v>
      </c>
      <c r="E7" s="1">
        <f t="shared" ref="E7:E33" si="2">ROUND(AVERAGE(B4:B6),0)</f>
        <v>99</v>
      </c>
      <c r="G7" s="1">
        <f t="shared" si="1"/>
        <v>99</v>
      </c>
    </row>
    <row r="8" spans="1:31" x14ac:dyDescent="0.3">
      <c r="A8" s="1">
        <v>6</v>
      </c>
      <c r="B8" s="1">
        <v>96</v>
      </c>
      <c r="C8" s="1">
        <f t="shared" si="0"/>
        <v>104</v>
      </c>
      <c r="D8" s="1">
        <f>ROUND(AVERAGE($B$3:B7),0)</f>
        <v>100</v>
      </c>
      <c r="E8" s="1">
        <f t="shared" si="2"/>
        <v>101</v>
      </c>
      <c r="F8" s="1">
        <f>ROUND(AVERAGE(B3:B7),0)</f>
        <v>100</v>
      </c>
      <c r="G8" s="1">
        <f t="shared" si="1"/>
        <v>102</v>
      </c>
    </row>
    <row r="9" spans="1:31" x14ac:dyDescent="0.3">
      <c r="A9" s="1">
        <v>7</v>
      </c>
      <c r="B9" s="1">
        <v>103</v>
      </c>
      <c r="C9" s="1">
        <f t="shared" si="0"/>
        <v>96</v>
      </c>
      <c r="D9" s="1">
        <f>ROUND(AVERAGE($B$3:B8),0)</f>
        <v>99</v>
      </c>
      <c r="E9" s="1">
        <f t="shared" si="2"/>
        <v>99</v>
      </c>
      <c r="F9" s="1">
        <f t="shared" ref="F9:F33" si="3">ROUND(AVERAGE(B4:B8),0)</f>
        <v>100</v>
      </c>
      <c r="G9" s="1">
        <f t="shared" si="1"/>
        <v>99</v>
      </c>
    </row>
    <row r="10" spans="1:31" x14ac:dyDescent="0.3">
      <c r="A10" s="1">
        <v>8</v>
      </c>
      <c r="B10" s="1">
        <v>103</v>
      </c>
      <c r="C10" s="1">
        <f t="shared" si="0"/>
        <v>103</v>
      </c>
      <c r="D10" s="1">
        <f>ROUND(AVERAGE($B$3:B9),0)</f>
        <v>100</v>
      </c>
      <c r="E10" s="1">
        <f t="shared" si="2"/>
        <v>101</v>
      </c>
      <c r="F10" s="1">
        <f t="shared" si="3"/>
        <v>101</v>
      </c>
      <c r="G10" s="1">
        <f t="shared" si="1"/>
        <v>101</v>
      </c>
    </row>
    <row r="11" spans="1:31" x14ac:dyDescent="0.3">
      <c r="A11" s="1">
        <v>9</v>
      </c>
      <c r="B11" s="1">
        <v>103</v>
      </c>
      <c r="C11" s="1">
        <f t="shared" si="0"/>
        <v>103</v>
      </c>
      <c r="D11" s="1">
        <f>ROUND(AVERAGE($B$3:B10),0)</f>
        <v>100</v>
      </c>
      <c r="E11" s="1">
        <f t="shared" si="2"/>
        <v>101</v>
      </c>
      <c r="F11" s="1">
        <f t="shared" si="3"/>
        <v>101</v>
      </c>
      <c r="G11" s="1">
        <f t="shared" si="1"/>
        <v>102</v>
      </c>
    </row>
    <row r="12" spans="1:31" x14ac:dyDescent="0.3">
      <c r="A12" s="1">
        <v>10</v>
      </c>
      <c r="B12" s="1">
        <v>103</v>
      </c>
      <c r="C12" s="1">
        <f t="shared" si="0"/>
        <v>103</v>
      </c>
      <c r="D12" s="1">
        <f>ROUND(AVERAGE($B$3:B11),0)</f>
        <v>100</v>
      </c>
      <c r="E12" s="1">
        <f t="shared" si="2"/>
        <v>103</v>
      </c>
      <c r="F12" s="1">
        <f t="shared" si="3"/>
        <v>102</v>
      </c>
      <c r="G12" s="1">
        <f t="shared" si="1"/>
        <v>103</v>
      </c>
    </row>
    <row r="13" spans="1:31" x14ac:dyDescent="0.3">
      <c r="A13" s="1">
        <v>11</v>
      </c>
      <c r="B13" s="1">
        <v>99</v>
      </c>
      <c r="C13" s="1">
        <f t="shared" si="0"/>
        <v>103</v>
      </c>
      <c r="D13" s="1">
        <f>ROUND(AVERAGE($B$3:B12),0)</f>
        <v>101</v>
      </c>
      <c r="E13" s="1">
        <f t="shared" si="2"/>
        <v>103</v>
      </c>
      <c r="F13" s="1">
        <f t="shared" si="3"/>
        <v>102</v>
      </c>
      <c r="G13" s="1">
        <f t="shared" si="1"/>
        <v>103</v>
      </c>
    </row>
    <row r="14" spans="1:31" x14ac:dyDescent="0.3">
      <c r="A14" s="1">
        <v>12</v>
      </c>
      <c r="B14" s="1">
        <v>103</v>
      </c>
      <c r="C14" s="1">
        <f t="shared" si="0"/>
        <v>99</v>
      </c>
      <c r="D14" s="1">
        <f>ROUND(AVERAGE($B$3:B13),0)</f>
        <v>100</v>
      </c>
      <c r="E14" s="1">
        <f t="shared" si="2"/>
        <v>102</v>
      </c>
      <c r="F14" s="1">
        <f t="shared" si="3"/>
        <v>102</v>
      </c>
      <c r="G14" s="1">
        <f t="shared" si="1"/>
        <v>101</v>
      </c>
    </row>
    <row r="15" spans="1:31" x14ac:dyDescent="0.3">
      <c r="A15" s="1">
        <v>13</v>
      </c>
      <c r="B15" s="1">
        <v>100</v>
      </c>
      <c r="C15" s="1">
        <f t="shared" si="0"/>
        <v>103</v>
      </c>
      <c r="D15" s="1">
        <f>ROUND(AVERAGE($B$3:B14),0)</f>
        <v>101</v>
      </c>
      <c r="E15" s="1">
        <f t="shared" si="2"/>
        <v>102</v>
      </c>
      <c r="F15" s="1">
        <f t="shared" si="3"/>
        <v>102</v>
      </c>
      <c r="G15" s="1">
        <f t="shared" si="1"/>
        <v>102</v>
      </c>
    </row>
    <row r="16" spans="1:31" x14ac:dyDescent="0.3">
      <c r="A16" s="1">
        <v>14</v>
      </c>
      <c r="B16" s="1">
        <v>105</v>
      </c>
      <c r="C16" s="1">
        <f t="shared" si="0"/>
        <v>100</v>
      </c>
      <c r="D16" s="1">
        <f>ROUND(AVERAGE($B$3:B15),0)</f>
        <v>101</v>
      </c>
      <c r="E16" s="1">
        <f t="shared" si="2"/>
        <v>101</v>
      </c>
      <c r="F16" s="1">
        <f t="shared" si="3"/>
        <v>102</v>
      </c>
      <c r="G16" s="1">
        <f t="shared" si="1"/>
        <v>101</v>
      </c>
    </row>
    <row r="17" spans="1:7" x14ac:dyDescent="0.3">
      <c r="A17" s="1">
        <v>15</v>
      </c>
      <c r="B17" s="1">
        <v>96</v>
      </c>
      <c r="C17" s="1">
        <f t="shared" si="0"/>
        <v>105</v>
      </c>
      <c r="D17" s="1">
        <f>ROUND(AVERAGE($B$3:B16),0)</f>
        <v>101</v>
      </c>
      <c r="E17" s="1">
        <f t="shared" si="2"/>
        <v>103</v>
      </c>
      <c r="F17" s="1">
        <f t="shared" si="3"/>
        <v>102</v>
      </c>
      <c r="G17" s="1">
        <f t="shared" si="1"/>
        <v>103</v>
      </c>
    </row>
    <row r="18" spans="1:7" x14ac:dyDescent="0.3">
      <c r="A18" s="1">
        <v>16</v>
      </c>
      <c r="B18" s="1">
        <v>97</v>
      </c>
      <c r="C18" s="1">
        <f t="shared" si="0"/>
        <v>96</v>
      </c>
      <c r="D18" s="1">
        <f>ROUND(AVERAGE($B$3:B17),0)</f>
        <v>101</v>
      </c>
      <c r="E18" s="1">
        <f t="shared" si="2"/>
        <v>100</v>
      </c>
      <c r="F18" s="1">
        <f t="shared" si="3"/>
        <v>101</v>
      </c>
      <c r="G18" s="1">
        <f t="shared" si="1"/>
        <v>100</v>
      </c>
    </row>
    <row r="19" spans="1:7" x14ac:dyDescent="0.3">
      <c r="A19" s="1">
        <v>17</v>
      </c>
      <c r="B19" s="1">
        <v>103</v>
      </c>
      <c r="C19" s="1">
        <f t="shared" si="0"/>
        <v>97</v>
      </c>
      <c r="D19" s="1">
        <f>ROUND(AVERAGE($B$3:B18),0)</f>
        <v>100</v>
      </c>
      <c r="E19" s="1">
        <f t="shared" si="2"/>
        <v>99</v>
      </c>
      <c r="F19" s="1">
        <f t="shared" si="3"/>
        <v>100</v>
      </c>
      <c r="G19" s="1">
        <f t="shared" si="1"/>
        <v>99</v>
      </c>
    </row>
    <row r="20" spans="1:7" x14ac:dyDescent="0.3">
      <c r="A20" s="1">
        <v>18</v>
      </c>
      <c r="B20" s="1">
        <v>100</v>
      </c>
      <c r="C20" s="1">
        <f t="shared" si="0"/>
        <v>103</v>
      </c>
      <c r="D20" s="1">
        <f>ROUND(AVERAGE($B$3:B19),0)</f>
        <v>101</v>
      </c>
      <c r="E20" s="1">
        <f t="shared" si="2"/>
        <v>99</v>
      </c>
      <c r="F20" s="1">
        <f t="shared" si="3"/>
        <v>100</v>
      </c>
      <c r="G20" s="1">
        <f t="shared" si="1"/>
        <v>101</v>
      </c>
    </row>
    <row r="21" spans="1:7" x14ac:dyDescent="0.3">
      <c r="A21" s="1">
        <v>19</v>
      </c>
      <c r="B21" s="1">
        <v>102</v>
      </c>
      <c r="C21" s="1">
        <f t="shared" si="0"/>
        <v>100</v>
      </c>
      <c r="D21" s="1">
        <f>ROUND(AVERAGE($B$3:B20),0)</f>
        <v>101</v>
      </c>
      <c r="E21" s="1">
        <f t="shared" si="2"/>
        <v>100</v>
      </c>
      <c r="F21" s="1">
        <f t="shared" si="3"/>
        <v>100</v>
      </c>
      <c r="G21" s="1">
        <f t="shared" si="1"/>
        <v>101</v>
      </c>
    </row>
    <row r="22" spans="1:7" x14ac:dyDescent="0.3">
      <c r="A22" s="1">
        <v>20</v>
      </c>
      <c r="B22" s="1">
        <v>100</v>
      </c>
      <c r="C22" s="1">
        <f t="shared" si="0"/>
        <v>102</v>
      </c>
      <c r="D22" s="1">
        <f>ROUND(AVERAGE($B$3:B21),0)</f>
        <v>101</v>
      </c>
      <c r="E22" s="1">
        <f t="shared" si="2"/>
        <v>102</v>
      </c>
      <c r="F22" s="1">
        <f t="shared" si="3"/>
        <v>100</v>
      </c>
      <c r="G22" s="1">
        <f t="shared" si="1"/>
        <v>102</v>
      </c>
    </row>
    <row r="23" spans="1:7" x14ac:dyDescent="0.3">
      <c r="A23" s="1">
        <v>21</v>
      </c>
      <c r="B23" s="1">
        <v>97</v>
      </c>
      <c r="C23" s="1">
        <f t="shared" si="0"/>
        <v>100</v>
      </c>
      <c r="D23" s="1">
        <f>ROUND(AVERAGE($B$3:B22),0)</f>
        <v>101</v>
      </c>
      <c r="E23" s="1">
        <f t="shared" si="2"/>
        <v>101</v>
      </c>
      <c r="F23" s="1">
        <f t="shared" si="3"/>
        <v>100</v>
      </c>
      <c r="G23" s="1">
        <f t="shared" si="1"/>
        <v>101</v>
      </c>
    </row>
    <row r="24" spans="1:7" x14ac:dyDescent="0.3">
      <c r="A24" s="1">
        <v>22</v>
      </c>
      <c r="B24" s="1">
        <v>99</v>
      </c>
      <c r="C24" s="1">
        <f t="shared" si="0"/>
        <v>97</v>
      </c>
      <c r="D24" s="1">
        <f>ROUND(AVERAGE($B$3:B23),0)</f>
        <v>100</v>
      </c>
      <c r="E24" s="1">
        <f t="shared" si="2"/>
        <v>100</v>
      </c>
      <c r="F24" s="1">
        <f t="shared" si="3"/>
        <v>100</v>
      </c>
      <c r="G24" s="1">
        <f t="shared" si="1"/>
        <v>99</v>
      </c>
    </row>
    <row r="25" spans="1:7" x14ac:dyDescent="0.3">
      <c r="A25" s="1">
        <v>23</v>
      </c>
      <c r="B25" s="1">
        <v>95</v>
      </c>
      <c r="C25" s="1">
        <f t="shared" si="0"/>
        <v>99</v>
      </c>
      <c r="D25" s="1">
        <f>ROUND(AVERAGE($B$3:B24),0)</f>
        <v>100</v>
      </c>
      <c r="E25" s="1">
        <f t="shared" si="2"/>
        <v>99</v>
      </c>
      <c r="F25" s="1">
        <f t="shared" si="3"/>
        <v>100</v>
      </c>
      <c r="G25" s="1">
        <f t="shared" si="1"/>
        <v>99</v>
      </c>
    </row>
    <row r="26" spans="1:7" x14ac:dyDescent="0.3">
      <c r="A26" s="1">
        <v>24</v>
      </c>
      <c r="B26" s="1">
        <v>99</v>
      </c>
      <c r="C26" s="1">
        <f t="shared" si="0"/>
        <v>95</v>
      </c>
      <c r="D26" s="1">
        <f>ROUND(AVERAGE($B$3:B25),0)</f>
        <v>100</v>
      </c>
      <c r="E26" s="1">
        <f t="shared" si="2"/>
        <v>97</v>
      </c>
      <c r="F26" s="1">
        <f t="shared" si="3"/>
        <v>99</v>
      </c>
      <c r="G26" s="1">
        <f t="shared" si="1"/>
        <v>97</v>
      </c>
    </row>
    <row r="27" spans="1:7" x14ac:dyDescent="0.3">
      <c r="A27" s="1">
        <v>25</v>
      </c>
      <c r="B27" s="1">
        <v>102</v>
      </c>
      <c r="C27" s="1">
        <f t="shared" si="0"/>
        <v>99</v>
      </c>
      <c r="D27" s="1">
        <f>ROUND(AVERAGE($B$3:B26),0)</f>
        <v>100</v>
      </c>
      <c r="E27" s="1">
        <f t="shared" si="2"/>
        <v>98</v>
      </c>
      <c r="F27" s="1">
        <f t="shared" si="3"/>
        <v>98</v>
      </c>
      <c r="G27" s="1">
        <f t="shared" si="1"/>
        <v>98</v>
      </c>
    </row>
    <row r="28" spans="1:7" x14ac:dyDescent="0.3">
      <c r="A28" s="1">
        <v>26</v>
      </c>
      <c r="B28" s="1">
        <v>105</v>
      </c>
      <c r="C28" s="1">
        <f t="shared" si="0"/>
        <v>102</v>
      </c>
      <c r="D28" s="1">
        <f>ROUND(AVERAGE($B$3:B27),0)</f>
        <v>100</v>
      </c>
      <c r="E28" s="1">
        <f t="shared" si="2"/>
        <v>99</v>
      </c>
      <c r="F28" s="1">
        <f t="shared" si="3"/>
        <v>98</v>
      </c>
      <c r="G28" s="1">
        <f t="shared" si="1"/>
        <v>100</v>
      </c>
    </row>
    <row r="29" spans="1:7" x14ac:dyDescent="0.3">
      <c r="A29" s="1">
        <v>27</v>
      </c>
      <c r="B29" s="1">
        <v>100</v>
      </c>
      <c r="C29" s="1">
        <f t="shared" si="0"/>
        <v>105</v>
      </c>
      <c r="D29" s="1">
        <f>ROUND(AVERAGE($B$3:B28),0)</f>
        <v>100</v>
      </c>
      <c r="E29" s="1">
        <f t="shared" si="2"/>
        <v>102</v>
      </c>
      <c r="F29" s="1">
        <f t="shared" si="3"/>
        <v>100</v>
      </c>
      <c r="G29" s="1">
        <f t="shared" si="1"/>
        <v>103</v>
      </c>
    </row>
    <row r="30" spans="1:7" x14ac:dyDescent="0.3">
      <c r="A30" s="1">
        <v>28</v>
      </c>
      <c r="B30" s="1">
        <v>96</v>
      </c>
      <c r="C30" s="1">
        <f t="shared" si="0"/>
        <v>100</v>
      </c>
      <c r="D30" s="1">
        <f>ROUND(AVERAGE($B$3:B29),0)</f>
        <v>100</v>
      </c>
      <c r="E30" s="1">
        <f t="shared" si="2"/>
        <v>102</v>
      </c>
      <c r="F30" s="1">
        <f t="shared" si="3"/>
        <v>100</v>
      </c>
      <c r="G30" s="1">
        <f t="shared" si="1"/>
        <v>102</v>
      </c>
    </row>
    <row r="31" spans="1:7" x14ac:dyDescent="0.3">
      <c r="A31" s="1">
        <v>29</v>
      </c>
      <c r="B31" s="1">
        <v>101</v>
      </c>
      <c r="C31" s="1">
        <f t="shared" si="0"/>
        <v>96</v>
      </c>
      <c r="D31" s="1">
        <f>ROUND(AVERAGE($B$3:B30),0)</f>
        <v>100</v>
      </c>
      <c r="E31" s="1">
        <f t="shared" si="2"/>
        <v>100</v>
      </c>
      <c r="F31" s="1">
        <f t="shared" si="3"/>
        <v>100</v>
      </c>
      <c r="G31" s="1">
        <f t="shared" si="1"/>
        <v>99</v>
      </c>
    </row>
    <row r="32" spans="1:7" x14ac:dyDescent="0.3">
      <c r="A32" s="1">
        <v>30</v>
      </c>
      <c r="B32" s="1">
        <v>98</v>
      </c>
      <c r="C32" s="1">
        <f t="shared" si="0"/>
        <v>101</v>
      </c>
      <c r="D32" s="1">
        <f>ROUND(AVERAGE($B$3:B31),0)</f>
        <v>100</v>
      </c>
      <c r="E32" s="1">
        <f t="shared" si="2"/>
        <v>99</v>
      </c>
      <c r="F32" s="1">
        <f t="shared" si="3"/>
        <v>101</v>
      </c>
      <c r="G32" s="1">
        <f t="shared" si="1"/>
        <v>100</v>
      </c>
    </row>
    <row r="33" spans="1:7" x14ac:dyDescent="0.3">
      <c r="A33" s="1">
        <v>31</v>
      </c>
      <c r="C33" s="1">
        <f t="shared" si="0"/>
        <v>98</v>
      </c>
      <c r="D33" s="1">
        <f>ROUND(AVERAGE($B$3:B32),0)</f>
        <v>100</v>
      </c>
      <c r="E33" s="1">
        <f t="shared" si="2"/>
        <v>98</v>
      </c>
      <c r="F33" s="1">
        <f t="shared" si="3"/>
        <v>100</v>
      </c>
      <c r="G33" s="1">
        <f t="shared" si="1"/>
        <v>99</v>
      </c>
    </row>
    <row r="35" spans="1:7" x14ac:dyDescent="0.3">
      <c r="A35" s="3"/>
    </row>
    <row r="36" spans="1:7" x14ac:dyDescent="0.3">
      <c r="A36" s="3"/>
      <c r="F36" s="3"/>
      <c r="G36" s="3"/>
    </row>
    <row r="37" spans="1:7" x14ac:dyDescent="0.3">
      <c r="A37" s="3"/>
    </row>
    <row r="42" spans="1:7" x14ac:dyDescent="0.3">
      <c r="A42" s="3"/>
    </row>
    <row r="51" spans="1:3" x14ac:dyDescent="0.3">
      <c r="A51" s="3"/>
    </row>
    <row r="63" spans="1:3" ht="14.5" x14ac:dyDescent="0.3">
      <c r="A63" s="22"/>
      <c r="B63" s="22"/>
      <c r="C63" s="22"/>
    </row>
    <row r="64" spans="1:3" ht="14.5" x14ac:dyDescent="0.3">
      <c r="A64" s="9"/>
      <c r="B64" s="9"/>
      <c r="C64" s="9"/>
    </row>
    <row r="65" spans="1:3" ht="14.5" x14ac:dyDescent="0.3">
      <c r="A65" s="9"/>
      <c r="B65" s="9"/>
      <c r="C65" s="9"/>
    </row>
    <row r="66" spans="1:3" ht="14.5" x14ac:dyDescent="0.3">
      <c r="A66" s="9"/>
      <c r="B66" s="9"/>
      <c r="C66" s="9"/>
    </row>
    <row r="67" spans="1:3" ht="14.5" x14ac:dyDescent="0.3">
      <c r="A67" s="9"/>
      <c r="B67" s="9"/>
      <c r="C67" s="9"/>
    </row>
    <row r="68" spans="1:3" ht="14.5" x14ac:dyDescent="0.3">
      <c r="A68" s="9"/>
      <c r="B68" s="9"/>
      <c r="C68" s="9"/>
    </row>
    <row r="69" spans="1:3" ht="14.5" x14ac:dyDescent="0.3">
      <c r="A69" s="9"/>
      <c r="B69" s="9"/>
      <c r="C69" s="9"/>
    </row>
    <row r="70" spans="1:3" ht="14.5" x14ac:dyDescent="0.3">
      <c r="A70" s="9"/>
      <c r="B70" s="9"/>
      <c r="C70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0502-A6BD-49D4-9249-3680FAA455DF}">
  <dimension ref="A1:V39"/>
  <sheetViews>
    <sheetView workbookViewId="0">
      <selection activeCell="X13" sqref="X13"/>
    </sheetView>
  </sheetViews>
  <sheetFormatPr defaultRowHeight="14.5" x14ac:dyDescent="0.35"/>
  <cols>
    <col min="1" max="1" width="31.453125" style="4" bestFit="1" customWidth="1"/>
    <col min="4" max="4" width="5.90625" customWidth="1"/>
    <col min="5" max="5" width="11" customWidth="1"/>
    <col min="6" max="6" width="13" customWidth="1"/>
    <col min="9" max="9" width="10.08984375" bestFit="1" customWidth="1"/>
    <col min="10" max="10" width="12.08984375" bestFit="1" customWidth="1"/>
    <col min="13" max="13" width="13.1796875" customWidth="1"/>
    <col min="14" max="14" width="13.08984375" customWidth="1"/>
    <col min="17" max="17" width="10.08984375" bestFit="1" customWidth="1"/>
    <col min="18" max="18" width="12.08984375" bestFit="1" customWidth="1"/>
    <col min="21" max="21" width="10.08984375" bestFit="1" customWidth="1"/>
    <col min="22" max="22" width="12.08984375" bestFit="1" customWidth="1"/>
  </cols>
  <sheetData>
    <row r="1" spans="1:22" ht="21" x14ac:dyDescent="0.5">
      <c r="A1" s="29" t="s">
        <v>19</v>
      </c>
      <c r="B1" s="30"/>
      <c r="C1" s="30"/>
      <c r="D1" s="30"/>
      <c r="E1" s="30"/>
      <c r="F1" s="2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 s="4" customFormat="1" x14ac:dyDescent="0.35">
      <c r="A2" s="31"/>
      <c r="B2" s="31" t="s">
        <v>8</v>
      </c>
      <c r="C2" s="32" t="s">
        <v>16</v>
      </c>
      <c r="D2" s="32"/>
      <c r="E2" s="32"/>
      <c r="F2" s="32"/>
      <c r="G2" s="32" t="s">
        <v>3</v>
      </c>
      <c r="H2" s="32"/>
      <c r="I2" s="32"/>
      <c r="J2" s="32"/>
      <c r="K2" s="33" t="s">
        <v>4</v>
      </c>
      <c r="L2" s="32"/>
      <c r="M2" s="32"/>
      <c r="N2" s="32"/>
      <c r="O2" s="33" t="s">
        <v>5</v>
      </c>
      <c r="P2" s="32"/>
      <c r="Q2" s="32"/>
      <c r="R2" s="32"/>
      <c r="S2" s="33" t="s">
        <v>6</v>
      </c>
      <c r="T2" s="32"/>
      <c r="U2" s="32"/>
      <c r="V2" s="32"/>
    </row>
    <row r="3" spans="1:22" s="4" customFormat="1" x14ac:dyDescent="0.35">
      <c r="A3" s="31" t="s">
        <v>0</v>
      </c>
      <c r="B3" s="31" t="s">
        <v>1</v>
      </c>
      <c r="C3" s="31" t="s">
        <v>12</v>
      </c>
      <c r="D3" s="31" t="s">
        <v>13</v>
      </c>
      <c r="E3" s="31" t="s">
        <v>14</v>
      </c>
      <c r="F3" s="31" t="s">
        <v>15</v>
      </c>
      <c r="G3" s="31" t="s">
        <v>12</v>
      </c>
      <c r="H3" s="31" t="s">
        <v>13</v>
      </c>
      <c r="I3" s="31" t="s">
        <v>14</v>
      </c>
      <c r="J3" s="31" t="s">
        <v>15</v>
      </c>
      <c r="K3" s="31" t="s">
        <v>12</v>
      </c>
      <c r="L3" s="31" t="s">
        <v>13</v>
      </c>
      <c r="M3" s="31" t="s">
        <v>14</v>
      </c>
      <c r="N3" s="31" t="s">
        <v>15</v>
      </c>
      <c r="O3" s="31" t="s">
        <v>12</v>
      </c>
      <c r="P3" s="31" t="s">
        <v>13</v>
      </c>
      <c r="Q3" s="31" t="s">
        <v>14</v>
      </c>
      <c r="R3" s="31" t="s">
        <v>15</v>
      </c>
      <c r="S3" s="31" t="s">
        <v>12</v>
      </c>
      <c r="T3" s="31" t="s">
        <v>13</v>
      </c>
      <c r="U3" s="31" t="s">
        <v>14</v>
      </c>
      <c r="V3" s="31" t="s">
        <v>15</v>
      </c>
    </row>
    <row r="4" spans="1:22" x14ac:dyDescent="0.35">
      <c r="A4" s="4">
        <v>1</v>
      </c>
      <c r="B4">
        <v>96</v>
      </c>
      <c r="S4">
        <v>96</v>
      </c>
    </row>
    <row r="5" spans="1:22" x14ac:dyDescent="0.35">
      <c r="A5" s="4">
        <v>2</v>
      </c>
      <c r="B5">
        <v>98</v>
      </c>
      <c r="C5">
        <f>Forecast_Model!C4</f>
        <v>96</v>
      </c>
      <c r="D5">
        <f>B5-C5</f>
        <v>2</v>
      </c>
      <c r="E5" s="8">
        <f>ABS(D5)/B5</f>
        <v>2.0408163265306121E-2</v>
      </c>
      <c r="F5">
        <f>D5^2</f>
        <v>4</v>
      </c>
      <c r="S5">
        <f>Forecast_Model!G4</f>
        <v>96</v>
      </c>
      <c r="T5">
        <f>B5-S5</f>
        <v>2</v>
      </c>
      <c r="U5" s="8">
        <f>ABS(T5)/B5</f>
        <v>2.0408163265306121E-2</v>
      </c>
      <c r="V5">
        <f>T5^2</f>
        <v>4</v>
      </c>
    </row>
    <row r="6" spans="1:22" x14ac:dyDescent="0.35">
      <c r="A6" s="4">
        <v>3</v>
      </c>
      <c r="B6">
        <v>103</v>
      </c>
      <c r="C6">
        <f>Forecast_Model!C5</f>
        <v>98</v>
      </c>
      <c r="D6">
        <f t="shared" ref="D6:D33" si="0">B6-C6</f>
        <v>5</v>
      </c>
      <c r="E6" s="8">
        <f t="shared" ref="E6:E33" si="1">ABS(D6)/B6</f>
        <v>4.8543689320388349E-2</v>
      </c>
      <c r="F6">
        <f t="shared" ref="F6:F33" si="2">D6^2</f>
        <v>25</v>
      </c>
      <c r="G6">
        <f>Forecast_Model!D5</f>
        <v>97</v>
      </c>
      <c r="H6">
        <f>B6-G6</f>
        <v>6</v>
      </c>
      <c r="I6" s="8">
        <f>ABS(H6)/B6</f>
        <v>5.8252427184466021E-2</v>
      </c>
      <c r="J6">
        <f>H6^2</f>
        <v>36</v>
      </c>
      <c r="S6">
        <f>Forecast_Model!G5</f>
        <v>97</v>
      </c>
      <c r="T6">
        <f t="shared" ref="T6:T33" si="3">B6-S6</f>
        <v>6</v>
      </c>
      <c r="U6" s="8">
        <f t="shared" ref="U6:U33" si="4">ABS(T6)/B6</f>
        <v>5.8252427184466021E-2</v>
      </c>
      <c r="V6">
        <f t="shared" ref="V6:V33" si="5">T6^2</f>
        <v>36</v>
      </c>
    </row>
    <row r="7" spans="1:22" x14ac:dyDescent="0.35">
      <c r="A7" s="4">
        <v>4</v>
      </c>
      <c r="B7">
        <v>97</v>
      </c>
      <c r="C7">
        <f>Forecast_Model!C6</f>
        <v>103</v>
      </c>
      <c r="D7">
        <f t="shared" si="0"/>
        <v>-6</v>
      </c>
      <c r="E7" s="8">
        <f t="shared" si="1"/>
        <v>6.1855670103092786E-2</v>
      </c>
      <c r="F7">
        <f t="shared" si="2"/>
        <v>36</v>
      </c>
      <c r="G7">
        <f>Forecast_Model!D6</f>
        <v>99</v>
      </c>
      <c r="H7">
        <f t="shared" ref="H7:H33" si="6">B7-G7</f>
        <v>-2</v>
      </c>
      <c r="I7" s="8">
        <f t="shared" ref="I7:I33" si="7">ABS(H7)/B7</f>
        <v>2.0618556701030927E-2</v>
      </c>
      <c r="J7">
        <f t="shared" ref="J7:J33" si="8">H7^2</f>
        <v>4</v>
      </c>
      <c r="K7">
        <f>Forecast_Model!E6</f>
        <v>99</v>
      </c>
      <c r="L7">
        <f>B7-K7</f>
        <v>-2</v>
      </c>
      <c r="M7" s="8">
        <f>ABS(L7)/B7</f>
        <v>2.0618556701030927E-2</v>
      </c>
      <c r="N7">
        <f>L7^2</f>
        <v>4</v>
      </c>
      <c r="S7">
        <f>Forecast_Model!G6</f>
        <v>100</v>
      </c>
      <c r="T7">
        <f t="shared" si="3"/>
        <v>-3</v>
      </c>
      <c r="U7" s="8">
        <f t="shared" si="4"/>
        <v>3.0927835051546393E-2</v>
      </c>
      <c r="V7">
        <f t="shared" si="5"/>
        <v>9</v>
      </c>
    </row>
    <row r="8" spans="1:22" x14ac:dyDescent="0.35">
      <c r="A8" s="4">
        <v>5</v>
      </c>
      <c r="B8">
        <v>104</v>
      </c>
      <c r="C8">
        <f>Forecast_Model!C7</f>
        <v>97</v>
      </c>
      <c r="D8">
        <f t="shared" si="0"/>
        <v>7</v>
      </c>
      <c r="E8" s="8">
        <f t="shared" si="1"/>
        <v>6.7307692307692304E-2</v>
      </c>
      <c r="F8">
        <f t="shared" si="2"/>
        <v>49</v>
      </c>
      <c r="G8">
        <f>Forecast_Model!D7</f>
        <v>99</v>
      </c>
      <c r="H8">
        <f t="shared" si="6"/>
        <v>5</v>
      </c>
      <c r="I8" s="8">
        <f t="shared" si="7"/>
        <v>4.807692307692308E-2</v>
      </c>
      <c r="J8">
        <f t="shared" si="8"/>
        <v>25</v>
      </c>
      <c r="K8">
        <f>Forecast_Model!E7</f>
        <v>99</v>
      </c>
      <c r="L8">
        <f t="shared" ref="L8:L33" si="9">B8-K8</f>
        <v>5</v>
      </c>
      <c r="M8" s="8">
        <f t="shared" ref="M8:M33" si="10">ABS(L8)/B8</f>
        <v>4.807692307692308E-2</v>
      </c>
      <c r="N8">
        <f t="shared" ref="N8:N33" si="11">L8^2</f>
        <v>25</v>
      </c>
      <c r="S8">
        <f>Forecast_Model!G7</f>
        <v>99</v>
      </c>
      <c r="T8">
        <f t="shared" si="3"/>
        <v>5</v>
      </c>
      <c r="U8" s="8">
        <f t="shared" si="4"/>
        <v>4.807692307692308E-2</v>
      </c>
      <c r="V8">
        <f t="shared" si="5"/>
        <v>25</v>
      </c>
    </row>
    <row r="9" spans="1:22" x14ac:dyDescent="0.35">
      <c r="A9" s="4">
        <v>6</v>
      </c>
      <c r="B9">
        <v>96</v>
      </c>
      <c r="C9">
        <f>Forecast_Model!C8</f>
        <v>104</v>
      </c>
      <c r="D9">
        <f t="shared" si="0"/>
        <v>-8</v>
      </c>
      <c r="E9" s="8">
        <f t="shared" si="1"/>
        <v>8.3333333333333329E-2</v>
      </c>
      <c r="F9">
        <f t="shared" si="2"/>
        <v>64</v>
      </c>
      <c r="G9">
        <f>Forecast_Model!D8</f>
        <v>100</v>
      </c>
      <c r="H9">
        <f t="shared" si="6"/>
        <v>-4</v>
      </c>
      <c r="I9" s="8">
        <f t="shared" si="7"/>
        <v>4.1666666666666664E-2</v>
      </c>
      <c r="J9">
        <f t="shared" si="8"/>
        <v>16</v>
      </c>
      <c r="K9">
        <f>Forecast_Model!E8</f>
        <v>101</v>
      </c>
      <c r="L9">
        <f t="shared" si="9"/>
        <v>-5</v>
      </c>
      <c r="M9" s="8">
        <f t="shared" si="10"/>
        <v>5.2083333333333336E-2</v>
      </c>
      <c r="N9">
        <f t="shared" si="11"/>
        <v>25</v>
      </c>
      <c r="O9">
        <f>Forecast_Model!F8</f>
        <v>100</v>
      </c>
      <c r="P9">
        <f>B9-O9</f>
        <v>-4</v>
      </c>
      <c r="Q9" s="8">
        <f>ABS(P9)/B9</f>
        <v>4.1666666666666664E-2</v>
      </c>
      <c r="R9">
        <f>P9^2</f>
        <v>16</v>
      </c>
      <c r="S9">
        <f>Forecast_Model!G8</f>
        <v>102</v>
      </c>
      <c r="T9">
        <f t="shared" si="3"/>
        <v>-6</v>
      </c>
      <c r="U9" s="8">
        <f t="shared" si="4"/>
        <v>6.25E-2</v>
      </c>
      <c r="V9">
        <f t="shared" si="5"/>
        <v>36</v>
      </c>
    </row>
    <row r="10" spans="1:22" x14ac:dyDescent="0.35">
      <c r="A10" s="4">
        <v>7</v>
      </c>
      <c r="B10">
        <v>103</v>
      </c>
      <c r="C10">
        <f>Forecast_Model!C9</f>
        <v>96</v>
      </c>
      <c r="D10">
        <f t="shared" si="0"/>
        <v>7</v>
      </c>
      <c r="E10" s="8">
        <f t="shared" si="1"/>
        <v>6.7961165048543687E-2</v>
      </c>
      <c r="F10">
        <f t="shared" si="2"/>
        <v>49</v>
      </c>
      <c r="G10">
        <f>Forecast_Model!D9</f>
        <v>99</v>
      </c>
      <c r="H10">
        <f t="shared" si="6"/>
        <v>4</v>
      </c>
      <c r="I10" s="8">
        <f t="shared" si="7"/>
        <v>3.8834951456310676E-2</v>
      </c>
      <c r="J10">
        <f t="shared" si="8"/>
        <v>16</v>
      </c>
      <c r="K10">
        <f>Forecast_Model!E9</f>
        <v>99</v>
      </c>
      <c r="L10">
        <f t="shared" si="9"/>
        <v>4</v>
      </c>
      <c r="M10" s="8">
        <f t="shared" si="10"/>
        <v>3.8834951456310676E-2</v>
      </c>
      <c r="N10">
        <f t="shared" si="11"/>
        <v>16</v>
      </c>
      <c r="O10">
        <f>Forecast_Model!F9</f>
        <v>100</v>
      </c>
      <c r="P10">
        <f t="shared" ref="P10:P33" si="12">B10-O10</f>
        <v>3</v>
      </c>
      <c r="Q10" s="8">
        <f t="shared" ref="Q10:Q33" si="13">ABS(P10)/B10</f>
        <v>2.9126213592233011E-2</v>
      </c>
      <c r="R10">
        <f t="shared" ref="R10:R33" si="14">P10^2</f>
        <v>9</v>
      </c>
      <c r="S10">
        <f>Forecast_Model!G9</f>
        <v>99</v>
      </c>
      <c r="T10">
        <f t="shared" si="3"/>
        <v>4</v>
      </c>
      <c r="U10" s="8">
        <f t="shared" si="4"/>
        <v>3.8834951456310676E-2</v>
      </c>
      <c r="V10">
        <f t="shared" si="5"/>
        <v>16</v>
      </c>
    </row>
    <row r="11" spans="1:22" x14ac:dyDescent="0.35">
      <c r="A11" s="4">
        <v>8</v>
      </c>
      <c r="B11">
        <v>103</v>
      </c>
      <c r="C11">
        <f>Forecast_Model!C10</f>
        <v>103</v>
      </c>
      <c r="D11">
        <f t="shared" si="0"/>
        <v>0</v>
      </c>
      <c r="E11" s="8">
        <f t="shared" si="1"/>
        <v>0</v>
      </c>
      <c r="F11">
        <f t="shared" si="2"/>
        <v>0</v>
      </c>
      <c r="G11">
        <f>Forecast_Model!D10</f>
        <v>100</v>
      </c>
      <c r="H11">
        <f t="shared" si="6"/>
        <v>3</v>
      </c>
      <c r="I11" s="8">
        <f t="shared" si="7"/>
        <v>2.9126213592233011E-2</v>
      </c>
      <c r="J11">
        <f t="shared" si="8"/>
        <v>9</v>
      </c>
      <c r="K11">
        <f>Forecast_Model!E10</f>
        <v>101</v>
      </c>
      <c r="L11">
        <f t="shared" si="9"/>
        <v>2</v>
      </c>
      <c r="M11" s="8">
        <f t="shared" si="10"/>
        <v>1.9417475728155338E-2</v>
      </c>
      <c r="N11">
        <f t="shared" si="11"/>
        <v>4</v>
      </c>
      <c r="O11">
        <f>Forecast_Model!F10</f>
        <v>101</v>
      </c>
      <c r="P11">
        <f t="shared" si="12"/>
        <v>2</v>
      </c>
      <c r="Q11" s="8">
        <f t="shared" si="13"/>
        <v>1.9417475728155338E-2</v>
      </c>
      <c r="R11">
        <f t="shared" si="14"/>
        <v>4</v>
      </c>
      <c r="S11">
        <f>Forecast_Model!G10</f>
        <v>101</v>
      </c>
      <c r="T11">
        <f t="shared" si="3"/>
        <v>2</v>
      </c>
      <c r="U11" s="8">
        <f t="shared" si="4"/>
        <v>1.9417475728155338E-2</v>
      </c>
      <c r="V11">
        <f t="shared" si="5"/>
        <v>4</v>
      </c>
    </row>
    <row r="12" spans="1:22" x14ac:dyDescent="0.35">
      <c r="A12" s="4">
        <v>9</v>
      </c>
      <c r="B12">
        <v>103</v>
      </c>
      <c r="C12">
        <f>Forecast_Model!C11</f>
        <v>103</v>
      </c>
      <c r="D12">
        <f t="shared" si="0"/>
        <v>0</v>
      </c>
      <c r="E12" s="8">
        <f t="shared" si="1"/>
        <v>0</v>
      </c>
      <c r="F12">
        <f t="shared" si="2"/>
        <v>0</v>
      </c>
      <c r="G12">
        <f>Forecast_Model!D11</f>
        <v>100</v>
      </c>
      <c r="H12">
        <f t="shared" si="6"/>
        <v>3</v>
      </c>
      <c r="I12" s="8">
        <f t="shared" si="7"/>
        <v>2.9126213592233011E-2</v>
      </c>
      <c r="J12">
        <f t="shared" si="8"/>
        <v>9</v>
      </c>
      <c r="K12">
        <f>Forecast_Model!E11</f>
        <v>101</v>
      </c>
      <c r="L12">
        <f t="shared" si="9"/>
        <v>2</v>
      </c>
      <c r="M12" s="8">
        <f t="shared" si="10"/>
        <v>1.9417475728155338E-2</v>
      </c>
      <c r="N12">
        <f t="shared" si="11"/>
        <v>4</v>
      </c>
      <c r="O12">
        <f>Forecast_Model!F11</f>
        <v>101</v>
      </c>
      <c r="P12">
        <f t="shared" si="12"/>
        <v>2</v>
      </c>
      <c r="Q12" s="8">
        <f t="shared" si="13"/>
        <v>1.9417475728155338E-2</v>
      </c>
      <c r="R12">
        <f t="shared" si="14"/>
        <v>4</v>
      </c>
      <c r="S12">
        <f>Forecast_Model!G11</f>
        <v>102</v>
      </c>
      <c r="T12">
        <f t="shared" si="3"/>
        <v>1</v>
      </c>
      <c r="U12" s="8">
        <f t="shared" si="4"/>
        <v>9.7087378640776691E-3</v>
      </c>
      <c r="V12">
        <f t="shared" si="5"/>
        <v>1</v>
      </c>
    </row>
    <row r="13" spans="1:22" x14ac:dyDescent="0.35">
      <c r="A13" s="4">
        <v>10</v>
      </c>
      <c r="B13">
        <v>103</v>
      </c>
      <c r="C13">
        <f>Forecast_Model!C12</f>
        <v>103</v>
      </c>
      <c r="D13">
        <f t="shared" si="0"/>
        <v>0</v>
      </c>
      <c r="E13" s="8">
        <f t="shared" si="1"/>
        <v>0</v>
      </c>
      <c r="F13">
        <f t="shared" si="2"/>
        <v>0</v>
      </c>
      <c r="G13">
        <f>Forecast_Model!D12</f>
        <v>100</v>
      </c>
      <c r="H13">
        <f t="shared" si="6"/>
        <v>3</v>
      </c>
      <c r="I13" s="8">
        <f t="shared" si="7"/>
        <v>2.9126213592233011E-2</v>
      </c>
      <c r="J13">
        <f t="shared" si="8"/>
        <v>9</v>
      </c>
      <c r="K13">
        <f>Forecast_Model!E12</f>
        <v>103</v>
      </c>
      <c r="L13">
        <f t="shared" si="9"/>
        <v>0</v>
      </c>
      <c r="M13" s="8">
        <f t="shared" si="10"/>
        <v>0</v>
      </c>
      <c r="N13">
        <f t="shared" si="11"/>
        <v>0</v>
      </c>
      <c r="O13">
        <f>Forecast_Model!F12</f>
        <v>102</v>
      </c>
      <c r="P13">
        <f t="shared" si="12"/>
        <v>1</v>
      </c>
      <c r="Q13" s="8">
        <f t="shared" si="13"/>
        <v>9.7087378640776691E-3</v>
      </c>
      <c r="R13">
        <f t="shared" si="14"/>
        <v>1</v>
      </c>
      <c r="S13">
        <f>Forecast_Model!G12</f>
        <v>103</v>
      </c>
      <c r="T13">
        <f t="shared" si="3"/>
        <v>0</v>
      </c>
      <c r="U13" s="8">
        <f t="shared" si="4"/>
        <v>0</v>
      </c>
      <c r="V13">
        <f t="shared" si="5"/>
        <v>0</v>
      </c>
    </row>
    <row r="14" spans="1:22" x14ac:dyDescent="0.35">
      <c r="A14" s="4">
        <v>11</v>
      </c>
      <c r="B14">
        <v>99</v>
      </c>
      <c r="C14">
        <f>Forecast_Model!C13</f>
        <v>103</v>
      </c>
      <c r="D14">
        <f t="shared" si="0"/>
        <v>-4</v>
      </c>
      <c r="E14" s="8">
        <f t="shared" si="1"/>
        <v>4.0404040404040407E-2</v>
      </c>
      <c r="F14">
        <f t="shared" si="2"/>
        <v>16</v>
      </c>
      <c r="G14">
        <f>Forecast_Model!D13</f>
        <v>101</v>
      </c>
      <c r="H14">
        <f t="shared" si="6"/>
        <v>-2</v>
      </c>
      <c r="I14" s="8">
        <f t="shared" si="7"/>
        <v>2.0202020202020204E-2</v>
      </c>
      <c r="J14">
        <f t="shared" si="8"/>
        <v>4</v>
      </c>
      <c r="K14">
        <f>Forecast_Model!E13</f>
        <v>103</v>
      </c>
      <c r="L14">
        <f t="shared" si="9"/>
        <v>-4</v>
      </c>
      <c r="M14" s="8">
        <f t="shared" si="10"/>
        <v>4.0404040404040407E-2</v>
      </c>
      <c r="N14">
        <f t="shared" si="11"/>
        <v>16</v>
      </c>
      <c r="O14">
        <f>Forecast_Model!F13</f>
        <v>102</v>
      </c>
      <c r="P14">
        <f t="shared" si="12"/>
        <v>-3</v>
      </c>
      <c r="Q14" s="8">
        <f t="shared" si="13"/>
        <v>3.0303030303030304E-2</v>
      </c>
      <c r="R14">
        <f t="shared" si="14"/>
        <v>9</v>
      </c>
      <c r="S14">
        <f>Forecast_Model!G13</f>
        <v>103</v>
      </c>
      <c r="T14">
        <f t="shared" si="3"/>
        <v>-4</v>
      </c>
      <c r="U14" s="8">
        <f t="shared" si="4"/>
        <v>4.0404040404040407E-2</v>
      </c>
      <c r="V14">
        <f t="shared" si="5"/>
        <v>16</v>
      </c>
    </row>
    <row r="15" spans="1:22" x14ac:dyDescent="0.35">
      <c r="A15" s="4">
        <v>12</v>
      </c>
      <c r="B15">
        <v>103</v>
      </c>
      <c r="C15">
        <f>Forecast_Model!C14</f>
        <v>99</v>
      </c>
      <c r="D15">
        <f t="shared" si="0"/>
        <v>4</v>
      </c>
      <c r="E15" s="8">
        <f t="shared" si="1"/>
        <v>3.8834951456310676E-2</v>
      </c>
      <c r="F15">
        <f t="shared" si="2"/>
        <v>16</v>
      </c>
      <c r="G15">
        <f>Forecast_Model!D14</f>
        <v>100</v>
      </c>
      <c r="H15">
        <f t="shared" si="6"/>
        <v>3</v>
      </c>
      <c r="I15" s="8">
        <f t="shared" si="7"/>
        <v>2.9126213592233011E-2</v>
      </c>
      <c r="J15">
        <f t="shared" si="8"/>
        <v>9</v>
      </c>
      <c r="K15">
        <f>Forecast_Model!E14</f>
        <v>102</v>
      </c>
      <c r="L15">
        <f t="shared" si="9"/>
        <v>1</v>
      </c>
      <c r="M15" s="8">
        <f t="shared" si="10"/>
        <v>9.7087378640776691E-3</v>
      </c>
      <c r="N15">
        <f t="shared" si="11"/>
        <v>1</v>
      </c>
      <c r="O15">
        <f>Forecast_Model!F14</f>
        <v>102</v>
      </c>
      <c r="P15">
        <f t="shared" si="12"/>
        <v>1</v>
      </c>
      <c r="Q15" s="8">
        <f t="shared" si="13"/>
        <v>9.7087378640776691E-3</v>
      </c>
      <c r="R15">
        <f t="shared" si="14"/>
        <v>1</v>
      </c>
      <c r="S15">
        <f>Forecast_Model!G14</f>
        <v>101</v>
      </c>
      <c r="T15">
        <f t="shared" si="3"/>
        <v>2</v>
      </c>
      <c r="U15" s="8">
        <f t="shared" si="4"/>
        <v>1.9417475728155338E-2</v>
      </c>
      <c r="V15">
        <f t="shared" si="5"/>
        <v>4</v>
      </c>
    </row>
    <row r="16" spans="1:22" x14ac:dyDescent="0.35">
      <c r="A16" s="4">
        <v>13</v>
      </c>
      <c r="B16">
        <v>100</v>
      </c>
      <c r="C16">
        <f>Forecast_Model!C15</f>
        <v>103</v>
      </c>
      <c r="D16">
        <f t="shared" si="0"/>
        <v>-3</v>
      </c>
      <c r="E16" s="8">
        <f t="shared" si="1"/>
        <v>0.03</v>
      </c>
      <c r="F16">
        <f t="shared" si="2"/>
        <v>9</v>
      </c>
      <c r="G16">
        <f>Forecast_Model!D15</f>
        <v>101</v>
      </c>
      <c r="H16">
        <f t="shared" si="6"/>
        <v>-1</v>
      </c>
      <c r="I16" s="8">
        <f t="shared" si="7"/>
        <v>0.01</v>
      </c>
      <c r="J16">
        <f t="shared" si="8"/>
        <v>1</v>
      </c>
      <c r="K16">
        <f>Forecast_Model!E15</f>
        <v>102</v>
      </c>
      <c r="L16">
        <f t="shared" si="9"/>
        <v>-2</v>
      </c>
      <c r="M16" s="8">
        <f t="shared" si="10"/>
        <v>0.02</v>
      </c>
      <c r="N16">
        <f t="shared" si="11"/>
        <v>4</v>
      </c>
      <c r="O16">
        <f>Forecast_Model!F15</f>
        <v>102</v>
      </c>
      <c r="P16">
        <f t="shared" si="12"/>
        <v>-2</v>
      </c>
      <c r="Q16" s="8">
        <f t="shared" si="13"/>
        <v>0.02</v>
      </c>
      <c r="R16">
        <f t="shared" si="14"/>
        <v>4</v>
      </c>
      <c r="S16">
        <f>Forecast_Model!G15</f>
        <v>102</v>
      </c>
      <c r="T16">
        <f t="shared" si="3"/>
        <v>-2</v>
      </c>
      <c r="U16" s="8">
        <f t="shared" si="4"/>
        <v>0.02</v>
      </c>
      <c r="V16">
        <f t="shared" si="5"/>
        <v>4</v>
      </c>
    </row>
    <row r="17" spans="1:22" x14ac:dyDescent="0.35">
      <c r="A17" s="4">
        <v>14</v>
      </c>
      <c r="B17">
        <v>105</v>
      </c>
      <c r="C17">
        <f>Forecast_Model!C16</f>
        <v>100</v>
      </c>
      <c r="D17">
        <f t="shared" si="0"/>
        <v>5</v>
      </c>
      <c r="E17" s="8">
        <f t="shared" si="1"/>
        <v>4.7619047619047616E-2</v>
      </c>
      <c r="F17">
        <f t="shared" si="2"/>
        <v>25</v>
      </c>
      <c r="G17">
        <f>Forecast_Model!D16</f>
        <v>101</v>
      </c>
      <c r="H17">
        <f t="shared" si="6"/>
        <v>4</v>
      </c>
      <c r="I17" s="8">
        <f t="shared" si="7"/>
        <v>3.8095238095238099E-2</v>
      </c>
      <c r="J17">
        <f t="shared" si="8"/>
        <v>16</v>
      </c>
      <c r="K17">
        <f>Forecast_Model!E16</f>
        <v>101</v>
      </c>
      <c r="L17">
        <f t="shared" si="9"/>
        <v>4</v>
      </c>
      <c r="M17" s="8">
        <f t="shared" si="10"/>
        <v>3.8095238095238099E-2</v>
      </c>
      <c r="N17">
        <f t="shared" si="11"/>
        <v>16</v>
      </c>
      <c r="O17">
        <f>Forecast_Model!F16</f>
        <v>102</v>
      </c>
      <c r="P17">
        <f t="shared" si="12"/>
        <v>3</v>
      </c>
      <c r="Q17" s="8">
        <f t="shared" si="13"/>
        <v>2.8571428571428571E-2</v>
      </c>
      <c r="R17">
        <f t="shared" si="14"/>
        <v>9</v>
      </c>
      <c r="S17">
        <f>Forecast_Model!G16</f>
        <v>101</v>
      </c>
      <c r="T17">
        <f t="shared" si="3"/>
        <v>4</v>
      </c>
      <c r="U17" s="8">
        <f t="shared" si="4"/>
        <v>3.8095238095238099E-2</v>
      </c>
      <c r="V17">
        <f t="shared" si="5"/>
        <v>16</v>
      </c>
    </row>
    <row r="18" spans="1:22" x14ac:dyDescent="0.35">
      <c r="A18" s="4">
        <v>15</v>
      </c>
      <c r="B18">
        <v>96</v>
      </c>
      <c r="C18">
        <f>Forecast_Model!C17</f>
        <v>105</v>
      </c>
      <c r="D18">
        <f t="shared" si="0"/>
        <v>-9</v>
      </c>
      <c r="E18" s="8">
        <f t="shared" si="1"/>
        <v>9.375E-2</v>
      </c>
      <c r="F18">
        <f t="shared" si="2"/>
        <v>81</v>
      </c>
      <c r="G18">
        <f>Forecast_Model!D17</f>
        <v>101</v>
      </c>
      <c r="H18">
        <f t="shared" si="6"/>
        <v>-5</v>
      </c>
      <c r="I18" s="8">
        <f t="shared" si="7"/>
        <v>5.2083333333333336E-2</v>
      </c>
      <c r="J18">
        <f t="shared" si="8"/>
        <v>25</v>
      </c>
      <c r="K18">
        <f>Forecast_Model!E17</f>
        <v>103</v>
      </c>
      <c r="L18">
        <f t="shared" si="9"/>
        <v>-7</v>
      </c>
      <c r="M18" s="8">
        <f t="shared" si="10"/>
        <v>7.2916666666666671E-2</v>
      </c>
      <c r="N18">
        <f t="shared" si="11"/>
        <v>49</v>
      </c>
      <c r="O18">
        <f>Forecast_Model!F17</f>
        <v>102</v>
      </c>
      <c r="P18">
        <f t="shared" si="12"/>
        <v>-6</v>
      </c>
      <c r="Q18" s="8">
        <f t="shared" si="13"/>
        <v>6.25E-2</v>
      </c>
      <c r="R18">
        <f t="shared" si="14"/>
        <v>36</v>
      </c>
      <c r="S18">
        <f>Forecast_Model!G17</f>
        <v>103</v>
      </c>
      <c r="T18">
        <f t="shared" si="3"/>
        <v>-7</v>
      </c>
      <c r="U18" s="8">
        <f t="shared" si="4"/>
        <v>7.2916666666666671E-2</v>
      </c>
      <c r="V18">
        <f t="shared" si="5"/>
        <v>49</v>
      </c>
    </row>
    <row r="19" spans="1:22" x14ac:dyDescent="0.35">
      <c r="A19" s="4">
        <v>16</v>
      </c>
      <c r="B19">
        <v>97</v>
      </c>
      <c r="C19">
        <f>Forecast_Model!C18</f>
        <v>96</v>
      </c>
      <c r="D19">
        <f t="shared" si="0"/>
        <v>1</v>
      </c>
      <c r="E19" s="8">
        <f t="shared" si="1"/>
        <v>1.0309278350515464E-2</v>
      </c>
      <c r="F19">
        <f t="shared" si="2"/>
        <v>1</v>
      </c>
      <c r="G19">
        <f>Forecast_Model!D18</f>
        <v>101</v>
      </c>
      <c r="H19">
        <f t="shared" si="6"/>
        <v>-4</v>
      </c>
      <c r="I19" s="8">
        <f t="shared" si="7"/>
        <v>4.1237113402061855E-2</v>
      </c>
      <c r="J19">
        <f t="shared" si="8"/>
        <v>16</v>
      </c>
      <c r="K19">
        <f>Forecast_Model!E18</f>
        <v>100</v>
      </c>
      <c r="L19">
        <f t="shared" si="9"/>
        <v>-3</v>
      </c>
      <c r="M19" s="8">
        <f t="shared" si="10"/>
        <v>3.0927835051546393E-2</v>
      </c>
      <c r="N19">
        <f t="shared" si="11"/>
        <v>9</v>
      </c>
      <c r="O19">
        <f>Forecast_Model!F18</f>
        <v>101</v>
      </c>
      <c r="P19">
        <f t="shared" si="12"/>
        <v>-4</v>
      </c>
      <c r="Q19" s="8">
        <f t="shared" si="13"/>
        <v>4.1237113402061855E-2</v>
      </c>
      <c r="R19">
        <f t="shared" si="14"/>
        <v>16</v>
      </c>
      <c r="S19">
        <f>Forecast_Model!G18</f>
        <v>100</v>
      </c>
      <c r="T19">
        <f t="shared" si="3"/>
        <v>-3</v>
      </c>
      <c r="U19" s="8">
        <f t="shared" si="4"/>
        <v>3.0927835051546393E-2</v>
      </c>
      <c r="V19">
        <f t="shared" si="5"/>
        <v>9</v>
      </c>
    </row>
    <row r="20" spans="1:22" x14ac:dyDescent="0.35">
      <c r="A20" s="4">
        <v>17</v>
      </c>
      <c r="B20">
        <v>103</v>
      </c>
      <c r="C20">
        <f>Forecast_Model!C19</f>
        <v>97</v>
      </c>
      <c r="D20">
        <f t="shared" si="0"/>
        <v>6</v>
      </c>
      <c r="E20" s="8">
        <f t="shared" si="1"/>
        <v>5.8252427184466021E-2</v>
      </c>
      <c r="F20">
        <f t="shared" si="2"/>
        <v>36</v>
      </c>
      <c r="G20">
        <f>Forecast_Model!D19</f>
        <v>100</v>
      </c>
      <c r="H20">
        <f t="shared" si="6"/>
        <v>3</v>
      </c>
      <c r="I20" s="8">
        <f t="shared" si="7"/>
        <v>2.9126213592233011E-2</v>
      </c>
      <c r="J20">
        <f t="shared" si="8"/>
        <v>9</v>
      </c>
      <c r="K20">
        <f>Forecast_Model!E19</f>
        <v>99</v>
      </c>
      <c r="L20">
        <f t="shared" si="9"/>
        <v>4</v>
      </c>
      <c r="M20" s="8">
        <f t="shared" si="10"/>
        <v>3.8834951456310676E-2</v>
      </c>
      <c r="N20">
        <f t="shared" si="11"/>
        <v>16</v>
      </c>
      <c r="O20">
        <f>Forecast_Model!F19</f>
        <v>100</v>
      </c>
      <c r="P20">
        <f t="shared" si="12"/>
        <v>3</v>
      </c>
      <c r="Q20" s="8">
        <f t="shared" si="13"/>
        <v>2.9126213592233011E-2</v>
      </c>
      <c r="R20">
        <f t="shared" si="14"/>
        <v>9</v>
      </c>
      <c r="S20">
        <f>Forecast_Model!G19</f>
        <v>99</v>
      </c>
      <c r="T20">
        <f t="shared" si="3"/>
        <v>4</v>
      </c>
      <c r="U20" s="8">
        <f t="shared" si="4"/>
        <v>3.8834951456310676E-2</v>
      </c>
      <c r="V20">
        <f t="shared" si="5"/>
        <v>16</v>
      </c>
    </row>
    <row r="21" spans="1:22" x14ac:dyDescent="0.35">
      <c r="A21" s="4">
        <v>18</v>
      </c>
      <c r="B21">
        <v>100</v>
      </c>
      <c r="C21">
        <f>Forecast_Model!C20</f>
        <v>103</v>
      </c>
      <c r="D21">
        <f t="shared" si="0"/>
        <v>-3</v>
      </c>
      <c r="E21" s="8">
        <f t="shared" si="1"/>
        <v>0.03</v>
      </c>
      <c r="F21">
        <f t="shared" si="2"/>
        <v>9</v>
      </c>
      <c r="G21">
        <f>Forecast_Model!D20</f>
        <v>101</v>
      </c>
      <c r="H21">
        <f t="shared" si="6"/>
        <v>-1</v>
      </c>
      <c r="I21" s="8">
        <f t="shared" si="7"/>
        <v>0.01</v>
      </c>
      <c r="J21">
        <f t="shared" si="8"/>
        <v>1</v>
      </c>
      <c r="K21">
        <f>Forecast_Model!E20</f>
        <v>99</v>
      </c>
      <c r="L21">
        <f t="shared" si="9"/>
        <v>1</v>
      </c>
      <c r="M21" s="8">
        <f t="shared" si="10"/>
        <v>0.01</v>
      </c>
      <c r="N21">
        <f t="shared" si="11"/>
        <v>1</v>
      </c>
      <c r="O21">
        <f>Forecast_Model!F20</f>
        <v>100</v>
      </c>
      <c r="P21">
        <f t="shared" si="12"/>
        <v>0</v>
      </c>
      <c r="Q21" s="8">
        <f t="shared" si="13"/>
        <v>0</v>
      </c>
      <c r="R21">
        <f t="shared" si="14"/>
        <v>0</v>
      </c>
      <c r="S21">
        <f>Forecast_Model!G20</f>
        <v>101</v>
      </c>
      <c r="T21">
        <f t="shared" si="3"/>
        <v>-1</v>
      </c>
      <c r="U21" s="8">
        <f t="shared" si="4"/>
        <v>0.01</v>
      </c>
      <c r="V21">
        <f t="shared" si="5"/>
        <v>1</v>
      </c>
    </row>
    <row r="22" spans="1:22" x14ac:dyDescent="0.35">
      <c r="A22" s="4">
        <v>19</v>
      </c>
      <c r="B22">
        <v>102</v>
      </c>
      <c r="C22">
        <f>Forecast_Model!C21</f>
        <v>100</v>
      </c>
      <c r="D22">
        <f t="shared" si="0"/>
        <v>2</v>
      </c>
      <c r="E22" s="8">
        <f t="shared" si="1"/>
        <v>1.9607843137254902E-2</v>
      </c>
      <c r="F22">
        <f t="shared" si="2"/>
        <v>4</v>
      </c>
      <c r="G22">
        <f>Forecast_Model!D21</f>
        <v>101</v>
      </c>
      <c r="H22">
        <f t="shared" si="6"/>
        <v>1</v>
      </c>
      <c r="I22" s="8">
        <f t="shared" si="7"/>
        <v>9.8039215686274508E-3</v>
      </c>
      <c r="J22">
        <f t="shared" si="8"/>
        <v>1</v>
      </c>
      <c r="K22">
        <f>Forecast_Model!E21</f>
        <v>100</v>
      </c>
      <c r="L22">
        <f t="shared" si="9"/>
        <v>2</v>
      </c>
      <c r="M22" s="8">
        <f t="shared" si="10"/>
        <v>1.9607843137254902E-2</v>
      </c>
      <c r="N22">
        <f t="shared" si="11"/>
        <v>4</v>
      </c>
      <c r="O22">
        <f>Forecast_Model!F21</f>
        <v>100</v>
      </c>
      <c r="P22">
        <f t="shared" si="12"/>
        <v>2</v>
      </c>
      <c r="Q22" s="8">
        <f t="shared" si="13"/>
        <v>1.9607843137254902E-2</v>
      </c>
      <c r="R22">
        <f t="shared" si="14"/>
        <v>4</v>
      </c>
      <c r="S22">
        <f>Forecast_Model!G21</f>
        <v>101</v>
      </c>
      <c r="T22">
        <f t="shared" si="3"/>
        <v>1</v>
      </c>
      <c r="U22" s="8">
        <f t="shared" si="4"/>
        <v>9.8039215686274508E-3</v>
      </c>
      <c r="V22">
        <f t="shared" si="5"/>
        <v>1</v>
      </c>
    </row>
    <row r="23" spans="1:22" x14ac:dyDescent="0.35">
      <c r="A23" s="4">
        <v>20</v>
      </c>
      <c r="B23">
        <v>100</v>
      </c>
      <c r="C23">
        <f>Forecast_Model!C22</f>
        <v>102</v>
      </c>
      <c r="D23">
        <f t="shared" si="0"/>
        <v>-2</v>
      </c>
      <c r="E23" s="8">
        <f t="shared" si="1"/>
        <v>0.02</v>
      </c>
      <c r="F23">
        <f t="shared" si="2"/>
        <v>4</v>
      </c>
      <c r="G23">
        <f>Forecast_Model!D22</f>
        <v>101</v>
      </c>
      <c r="H23">
        <f t="shared" si="6"/>
        <v>-1</v>
      </c>
      <c r="I23" s="8">
        <f t="shared" si="7"/>
        <v>0.01</v>
      </c>
      <c r="J23">
        <f t="shared" si="8"/>
        <v>1</v>
      </c>
      <c r="K23">
        <f>Forecast_Model!E22</f>
        <v>102</v>
      </c>
      <c r="L23">
        <f t="shared" si="9"/>
        <v>-2</v>
      </c>
      <c r="M23" s="8">
        <f t="shared" si="10"/>
        <v>0.02</v>
      </c>
      <c r="N23">
        <f t="shared" si="11"/>
        <v>4</v>
      </c>
      <c r="O23">
        <f>Forecast_Model!F22</f>
        <v>100</v>
      </c>
      <c r="P23">
        <f t="shared" si="12"/>
        <v>0</v>
      </c>
      <c r="Q23" s="8">
        <f t="shared" si="13"/>
        <v>0</v>
      </c>
      <c r="R23">
        <f t="shared" si="14"/>
        <v>0</v>
      </c>
      <c r="S23">
        <f>Forecast_Model!G22</f>
        <v>102</v>
      </c>
      <c r="T23">
        <f t="shared" si="3"/>
        <v>-2</v>
      </c>
      <c r="U23" s="8">
        <f t="shared" si="4"/>
        <v>0.02</v>
      </c>
      <c r="V23">
        <f t="shared" si="5"/>
        <v>4</v>
      </c>
    </row>
    <row r="24" spans="1:22" x14ac:dyDescent="0.35">
      <c r="A24" s="4">
        <v>21</v>
      </c>
      <c r="B24">
        <v>97</v>
      </c>
      <c r="C24">
        <f>Forecast_Model!C23</f>
        <v>100</v>
      </c>
      <c r="D24">
        <f t="shared" si="0"/>
        <v>-3</v>
      </c>
      <c r="E24" s="8">
        <f t="shared" si="1"/>
        <v>3.0927835051546393E-2</v>
      </c>
      <c r="F24">
        <f t="shared" si="2"/>
        <v>9</v>
      </c>
      <c r="G24">
        <f>Forecast_Model!D23</f>
        <v>101</v>
      </c>
      <c r="H24">
        <f t="shared" si="6"/>
        <v>-4</v>
      </c>
      <c r="I24" s="8">
        <f t="shared" si="7"/>
        <v>4.1237113402061855E-2</v>
      </c>
      <c r="J24">
        <f t="shared" si="8"/>
        <v>16</v>
      </c>
      <c r="K24">
        <f>Forecast_Model!E23</f>
        <v>101</v>
      </c>
      <c r="L24">
        <f t="shared" si="9"/>
        <v>-4</v>
      </c>
      <c r="M24" s="8">
        <f t="shared" si="10"/>
        <v>4.1237113402061855E-2</v>
      </c>
      <c r="N24">
        <f t="shared" si="11"/>
        <v>16</v>
      </c>
      <c r="O24">
        <f>Forecast_Model!F23</f>
        <v>100</v>
      </c>
      <c r="P24">
        <f t="shared" si="12"/>
        <v>-3</v>
      </c>
      <c r="Q24" s="8">
        <f t="shared" si="13"/>
        <v>3.0927835051546393E-2</v>
      </c>
      <c r="R24">
        <f t="shared" si="14"/>
        <v>9</v>
      </c>
      <c r="S24">
        <f>Forecast_Model!G23</f>
        <v>101</v>
      </c>
      <c r="T24">
        <f t="shared" si="3"/>
        <v>-4</v>
      </c>
      <c r="U24" s="8">
        <f t="shared" si="4"/>
        <v>4.1237113402061855E-2</v>
      </c>
      <c r="V24">
        <f t="shared" si="5"/>
        <v>16</v>
      </c>
    </row>
    <row r="25" spans="1:22" x14ac:dyDescent="0.35">
      <c r="A25" s="4">
        <v>22</v>
      </c>
      <c r="B25">
        <v>99</v>
      </c>
      <c r="C25">
        <f>Forecast_Model!C24</f>
        <v>97</v>
      </c>
      <c r="D25">
        <f t="shared" si="0"/>
        <v>2</v>
      </c>
      <c r="E25" s="8">
        <f t="shared" si="1"/>
        <v>2.0202020202020204E-2</v>
      </c>
      <c r="F25">
        <f t="shared" si="2"/>
        <v>4</v>
      </c>
      <c r="G25">
        <f>Forecast_Model!D24</f>
        <v>100</v>
      </c>
      <c r="H25">
        <f t="shared" si="6"/>
        <v>-1</v>
      </c>
      <c r="I25" s="8">
        <f t="shared" si="7"/>
        <v>1.0101010101010102E-2</v>
      </c>
      <c r="J25">
        <f t="shared" si="8"/>
        <v>1</v>
      </c>
      <c r="K25">
        <f>Forecast_Model!E24</f>
        <v>100</v>
      </c>
      <c r="L25">
        <f t="shared" si="9"/>
        <v>-1</v>
      </c>
      <c r="M25" s="8">
        <f t="shared" si="10"/>
        <v>1.0101010101010102E-2</v>
      </c>
      <c r="N25">
        <f t="shared" si="11"/>
        <v>1</v>
      </c>
      <c r="O25">
        <f>Forecast_Model!F24</f>
        <v>100</v>
      </c>
      <c r="P25">
        <f t="shared" si="12"/>
        <v>-1</v>
      </c>
      <c r="Q25" s="8">
        <f t="shared" si="13"/>
        <v>1.0101010101010102E-2</v>
      </c>
      <c r="R25">
        <f t="shared" si="14"/>
        <v>1</v>
      </c>
      <c r="S25">
        <f>Forecast_Model!G24</f>
        <v>99</v>
      </c>
      <c r="T25">
        <f t="shared" si="3"/>
        <v>0</v>
      </c>
      <c r="U25" s="8">
        <f t="shared" si="4"/>
        <v>0</v>
      </c>
      <c r="V25">
        <f t="shared" si="5"/>
        <v>0</v>
      </c>
    </row>
    <row r="26" spans="1:22" x14ac:dyDescent="0.35">
      <c r="A26" s="4">
        <v>23</v>
      </c>
      <c r="B26">
        <v>95</v>
      </c>
      <c r="C26">
        <f>Forecast_Model!C25</f>
        <v>99</v>
      </c>
      <c r="D26">
        <f t="shared" si="0"/>
        <v>-4</v>
      </c>
      <c r="E26" s="8">
        <f t="shared" si="1"/>
        <v>4.2105263157894736E-2</v>
      </c>
      <c r="F26">
        <f t="shared" si="2"/>
        <v>16</v>
      </c>
      <c r="G26">
        <f>Forecast_Model!D25</f>
        <v>100</v>
      </c>
      <c r="H26">
        <f t="shared" si="6"/>
        <v>-5</v>
      </c>
      <c r="I26" s="8">
        <f t="shared" si="7"/>
        <v>5.2631578947368418E-2</v>
      </c>
      <c r="J26">
        <f t="shared" si="8"/>
        <v>25</v>
      </c>
      <c r="K26">
        <f>Forecast_Model!E25</f>
        <v>99</v>
      </c>
      <c r="L26">
        <f t="shared" si="9"/>
        <v>-4</v>
      </c>
      <c r="M26" s="8">
        <f t="shared" si="10"/>
        <v>4.2105263157894736E-2</v>
      </c>
      <c r="N26">
        <f t="shared" si="11"/>
        <v>16</v>
      </c>
      <c r="O26">
        <f>Forecast_Model!F25</f>
        <v>100</v>
      </c>
      <c r="P26">
        <f t="shared" si="12"/>
        <v>-5</v>
      </c>
      <c r="Q26" s="8">
        <f t="shared" si="13"/>
        <v>5.2631578947368418E-2</v>
      </c>
      <c r="R26">
        <f t="shared" si="14"/>
        <v>25</v>
      </c>
      <c r="S26">
        <f>Forecast_Model!G25</f>
        <v>99</v>
      </c>
      <c r="T26">
        <f t="shared" si="3"/>
        <v>-4</v>
      </c>
      <c r="U26" s="8">
        <f t="shared" si="4"/>
        <v>4.2105263157894736E-2</v>
      </c>
      <c r="V26">
        <f t="shared" si="5"/>
        <v>16</v>
      </c>
    </row>
    <row r="27" spans="1:22" x14ac:dyDescent="0.35">
      <c r="A27" s="4">
        <v>24</v>
      </c>
      <c r="B27">
        <v>99</v>
      </c>
      <c r="C27">
        <f>Forecast_Model!C26</f>
        <v>95</v>
      </c>
      <c r="D27">
        <f t="shared" si="0"/>
        <v>4</v>
      </c>
      <c r="E27" s="8">
        <f t="shared" si="1"/>
        <v>4.0404040404040407E-2</v>
      </c>
      <c r="F27">
        <f t="shared" si="2"/>
        <v>16</v>
      </c>
      <c r="G27">
        <f>Forecast_Model!D26</f>
        <v>100</v>
      </c>
      <c r="H27">
        <f t="shared" si="6"/>
        <v>-1</v>
      </c>
      <c r="I27" s="8">
        <f t="shared" si="7"/>
        <v>1.0101010101010102E-2</v>
      </c>
      <c r="J27">
        <f t="shared" si="8"/>
        <v>1</v>
      </c>
      <c r="K27">
        <f>Forecast_Model!E26</f>
        <v>97</v>
      </c>
      <c r="L27">
        <f t="shared" si="9"/>
        <v>2</v>
      </c>
      <c r="M27" s="8">
        <f t="shared" si="10"/>
        <v>2.0202020202020204E-2</v>
      </c>
      <c r="N27">
        <f t="shared" si="11"/>
        <v>4</v>
      </c>
      <c r="O27">
        <f>Forecast_Model!F26</f>
        <v>99</v>
      </c>
      <c r="P27">
        <f t="shared" si="12"/>
        <v>0</v>
      </c>
      <c r="Q27" s="8">
        <f t="shared" si="13"/>
        <v>0</v>
      </c>
      <c r="R27">
        <f t="shared" si="14"/>
        <v>0</v>
      </c>
      <c r="S27">
        <f>Forecast_Model!G26</f>
        <v>97</v>
      </c>
      <c r="T27">
        <f t="shared" si="3"/>
        <v>2</v>
      </c>
      <c r="U27" s="8">
        <f t="shared" si="4"/>
        <v>2.0202020202020204E-2</v>
      </c>
      <c r="V27">
        <f t="shared" si="5"/>
        <v>4</v>
      </c>
    </row>
    <row r="28" spans="1:22" x14ac:dyDescent="0.35">
      <c r="A28" s="4">
        <v>25</v>
      </c>
      <c r="B28">
        <v>102</v>
      </c>
      <c r="C28">
        <f>Forecast_Model!C27</f>
        <v>99</v>
      </c>
      <c r="D28">
        <f t="shared" si="0"/>
        <v>3</v>
      </c>
      <c r="E28" s="8">
        <f t="shared" si="1"/>
        <v>2.9411764705882353E-2</v>
      </c>
      <c r="F28">
        <f t="shared" si="2"/>
        <v>9</v>
      </c>
      <c r="G28">
        <f>Forecast_Model!D27</f>
        <v>100</v>
      </c>
      <c r="H28">
        <f t="shared" si="6"/>
        <v>2</v>
      </c>
      <c r="I28" s="8">
        <f t="shared" si="7"/>
        <v>1.9607843137254902E-2</v>
      </c>
      <c r="J28">
        <f t="shared" si="8"/>
        <v>4</v>
      </c>
      <c r="K28">
        <f>Forecast_Model!E27</f>
        <v>98</v>
      </c>
      <c r="L28">
        <f t="shared" si="9"/>
        <v>4</v>
      </c>
      <c r="M28" s="8">
        <f t="shared" si="10"/>
        <v>3.9215686274509803E-2</v>
      </c>
      <c r="N28">
        <f t="shared" si="11"/>
        <v>16</v>
      </c>
      <c r="O28">
        <f>Forecast_Model!F27</f>
        <v>98</v>
      </c>
      <c r="P28">
        <f t="shared" si="12"/>
        <v>4</v>
      </c>
      <c r="Q28" s="8">
        <f t="shared" si="13"/>
        <v>3.9215686274509803E-2</v>
      </c>
      <c r="R28">
        <f t="shared" si="14"/>
        <v>16</v>
      </c>
      <c r="S28">
        <f>Forecast_Model!G27</f>
        <v>98</v>
      </c>
      <c r="T28">
        <f t="shared" si="3"/>
        <v>4</v>
      </c>
      <c r="U28" s="8">
        <f t="shared" si="4"/>
        <v>3.9215686274509803E-2</v>
      </c>
      <c r="V28">
        <f t="shared" si="5"/>
        <v>16</v>
      </c>
    </row>
    <row r="29" spans="1:22" x14ac:dyDescent="0.35">
      <c r="A29" s="4">
        <v>26</v>
      </c>
      <c r="B29">
        <v>105</v>
      </c>
      <c r="C29">
        <f>Forecast_Model!C28</f>
        <v>102</v>
      </c>
      <c r="D29">
        <f t="shared" si="0"/>
        <v>3</v>
      </c>
      <c r="E29" s="8">
        <f t="shared" si="1"/>
        <v>2.8571428571428571E-2</v>
      </c>
      <c r="F29">
        <f t="shared" si="2"/>
        <v>9</v>
      </c>
      <c r="G29">
        <f>Forecast_Model!D28</f>
        <v>100</v>
      </c>
      <c r="H29">
        <f t="shared" si="6"/>
        <v>5</v>
      </c>
      <c r="I29" s="8">
        <f t="shared" si="7"/>
        <v>4.7619047619047616E-2</v>
      </c>
      <c r="J29">
        <f t="shared" si="8"/>
        <v>25</v>
      </c>
      <c r="K29">
        <f>Forecast_Model!E28</f>
        <v>99</v>
      </c>
      <c r="L29">
        <f t="shared" si="9"/>
        <v>6</v>
      </c>
      <c r="M29" s="8">
        <f t="shared" si="10"/>
        <v>5.7142857142857141E-2</v>
      </c>
      <c r="N29">
        <f t="shared" si="11"/>
        <v>36</v>
      </c>
      <c r="O29">
        <f>Forecast_Model!F28</f>
        <v>98</v>
      </c>
      <c r="P29">
        <f t="shared" si="12"/>
        <v>7</v>
      </c>
      <c r="Q29" s="8">
        <f t="shared" si="13"/>
        <v>6.6666666666666666E-2</v>
      </c>
      <c r="R29">
        <f t="shared" si="14"/>
        <v>49</v>
      </c>
      <c r="S29">
        <f>Forecast_Model!G28</f>
        <v>100</v>
      </c>
      <c r="T29">
        <f t="shared" si="3"/>
        <v>5</v>
      </c>
      <c r="U29" s="8">
        <f t="shared" si="4"/>
        <v>4.7619047619047616E-2</v>
      </c>
      <c r="V29">
        <f t="shared" si="5"/>
        <v>25</v>
      </c>
    </row>
    <row r="30" spans="1:22" x14ac:dyDescent="0.35">
      <c r="A30" s="4">
        <v>27</v>
      </c>
      <c r="B30">
        <v>100</v>
      </c>
      <c r="C30">
        <f>Forecast_Model!C29</f>
        <v>105</v>
      </c>
      <c r="D30">
        <f t="shared" si="0"/>
        <v>-5</v>
      </c>
      <c r="E30" s="8">
        <f t="shared" si="1"/>
        <v>0.05</v>
      </c>
      <c r="F30">
        <f t="shared" si="2"/>
        <v>25</v>
      </c>
      <c r="G30">
        <f>Forecast_Model!D29</f>
        <v>100</v>
      </c>
      <c r="H30">
        <f t="shared" si="6"/>
        <v>0</v>
      </c>
      <c r="I30" s="8">
        <f t="shared" si="7"/>
        <v>0</v>
      </c>
      <c r="J30">
        <f t="shared" si="8"/>
        <v>0</v>
      </c>
      <c r="K30">
        <f>Forecast_Model!E29</f>
        <v>102</v>
      </c>
      <c r="L30">
        <f t="shared" si="9"/>
        <v>-2</v>
      </c>
      <c r="M30" s="8">
        <f t="shared" si="10"/>
        <v>0.02</v>
      </c>
      <c r="N30">
        <f t="shared" si="11"/>
        <v>4</v>
      </c>
      <c r="O30">
        <f>Forecast_Model!F29</f>
        <v>100</v>
      </c>
      <c r="P30">
        <f t="shared" si="12"/>
        <v>0</v>
      </c>
      <c r="Q30" s="8">
        <f t="shared" si="13"/>
        <v>0</v>
      </c>
      <c r="R30">
        <f t="shared" si="14"/>
        <v>0</v>
      </c>
      <c r="S30">
        <f>Forecast_Model!G29</f>
        <v>103</v>
      </c>
      <c r="T30">
        <f t="shared" si="3"/>
        <v>-3</v>
      </c>
      <c r="U30" s="8">
        <f t="shared" si="4"/>
        <v>0.03</v>
      </c>
      <c r="V30">
        <f t="shared" si="5"/>
        <v>9</v>
      </c>
    </row>
    <row r="31" spans="1:22" x14ac:dyDescent="0.35">
      <c r="A31" s="4">
        <v>28</v>
      </c>
      <c r="B31">
        <v>96</v>
      </c>
      <c r="C31">
        <f>Forecast_Model!C30</f>
        <v>100</v>
      </c>
      <c r="D31">
        <f t="shared" si="0"/>
        <v>-4</v>
      </c>
      <c r="E31" s="8">
        <f t="shared" si="1"/>
        <v>4.1666666666666664E-2</v>
      </c>
      <c r="F31">
        <f t="shared" si="2"/>
        <v>16</v>
      </c>
      <c r="G31">
        <f>Forecast_Model!D30</f>
        <v>100</v>
      </c>
      <c r="H31">
        <f t="shared" si="6"/>
        <v>-4</v>
      </c>
      <c r="I31" s="8">
        <f t="shared" si="7"/>
        <v>4.1666666666666664E-2</v>
      </c>
      <c r="J31">
        <f t="shared" si="8"/>
        <v>16</v>
      </c>
      <c r="K31">
        <f>Forecast_Model!E30</f>
        <v>102</v>
      </c>
      <c r="L31">
        <f t="shared" si="9"/>
        <v>-6</v>
      </c>
      <c r="M31" s="8">
        <f t="shared" si="10"/>
        <v>6.25E-2</v>
      </c>
      <c r="N31">
        <f t="shared" si="11"/>
        <v>36</v>
      </c>
      <c r="O31">
        <f>Forecast_Model!F30</f>
        <v>100</v>
      </c>
      <c r="P31">
        <f t="shared" si="12"/>
        <v>-4</v>
      </c>
      <c r="Q31" s="8">
        <f t="shared" si="13"/>
        <v>4.1666666666666664E-2</v>
      </c>
      <c r="R31">
        <f t="shared" si="14"/>
        <v>16</v>
      </c>
      <c r="S31">
        <f>Forecast_Model!G30</f>
        <v>102</v>
      </c>
      <c r="T31">
        <f t="shared" si="3"/>
        <v>-6</v>
      </c>
      <c r="U31" s="8">
        <f t="shared" si="4"/>
        <v>6.25E-2</v>
      </c>
      <c r="V31">
        <f t="shared" si="5"/>
        <v>36</v>
      </c>
    </row>
    <row r="32" spans="1:22" x14ac:dyDescent="0.35">
      <c r="A32" s="4">
        <v>29</v>
      </c>
      <c r="B32">
        <v>101</v>
      </c>
      <c r="C32">
        <f>Forecast_Model!C31</f>
        <v>96</v>
      </c>
      <c r="D32">
        <f t="shared" si="0"/>
        <v>5</v>
      </c>
      <c r="E32" s="8">
        <f t="shared" si="1"/>
        <v>4.9504950495049507E-2</v>
      </c>
      <c r="F32">
        <f t="shared" si="2"/>
        <v>25</v>
      </c>
      <c r="G32">
        <f>Forecast_Model!D31</f>
        <v>100</v>
      </c>
      <c r="H32">
        <f t="shared" si="6"/>
        <v>1</v>
      </c>
      <c r="I32" s="8">
        <f t="shared" si="7"/>
        <v>9.9009900990099011E-3</v>
      </c>
      <c r="J32">
        <f t="shared" si="8"/>
        <v>1</v>
      </c>
      <c r="K32">
        <f>Forecast_Model!E31</f>
        <v>100</v>
      </c>
      <c r="L32">
        <f t="shared" si="9"/>
        <v>1</v>
      </c>
      <c r="M32" s="8">
        <f t="shared" si="10"/>
        <v>9.9009900990099011E-3</v>
      </c>
      <c r="N32">
        <f t="shared" si="11"/>
        <v>1</v>
      </c>
      <c r="O32">
        <f>Forecast_Model!F31</f>
        <v>100</v>
      </c>
      <c r="P32">
        <f t="shared" si="12"/>
        <v>1</v>
      </c>
      <c r="Q32" s="8">
        <f t="shared" si="13"/>
        <v>9.9009900990099011E-3</v>
      </c>
      <c r="R32">
        <f t="shared" si="14"/>
        <v>1</v>
      </c>
      <c r="S32">
        <f>Forecast_Model!G31</f>
        <v>99</v>
      </c>
      <c r="T32">
        <f t="shared" si="3"/>
        <v>2</v>
      </c>
      <c r="U32" s="8">
        <f t="shared" si="4"/>
        <v>1.9801980198019802E-2</v>
      </c>
      <c r="V32">
        <f t="shared" si="5"/>
        <v>4</v>
      </c>
    </row>
    <row r="33" spans="1:22" x14ac:dyDescent="0.35">
      <c r="A33" s="4">
        <v>30</v>
      </c>
      <c r="B33">
        <v>98</v>
      </c>
      <c r="C33">
        <f>Forecast_Model!C32</f>
        <v>101</v>
      </c>
      <c r="D33">
        <f t="shared" si="0"/>
        <v>-3</v>
      </c>
      <c r="E33" s="8">
        <f t="shared" si="1"/>
        <v>3.0612244897959183E-2</v>
      </c>
      <c r="F33">
        <f t="shared" si="2"/>
        <v>9</v>
      </c>
      <c r="G33">
        <f>Forecast_Model!D32</f>
        <v>100</v>
      </c>
      <c r="H33">
        <f t="shared" si="6"/>
        <v>-2</v>
      </c>
      <c r="I33" s="8">
        <f t="shared" si="7"/>
        <v>2.0408163265306121E-2</v>
      </c>
      <c r="J33">
        <f t="shared" si="8"/>
        <v>4</v>
      </c>
      <c r="K33">
        <f>Forecast_Model!E32</f>
        <v>99</v>
      </c>
      <c r="L33">
        <f t="shared" si="9"/>
        <v>-1</v>
      </c>
      <c r="M33" s="8">
        <f t="shared" si="10"/>
        <v>1.020408163265306E-2</v>
      </c>
      <c r="N33">
        <f t="shared" si="11"/>
        <v>1</v>
      </c>
      <c r="O33">
        <f>Forecast_Model!F32</f>
        <v>101</v>
      </c>
      <c r="P33">
        <f t="shared" si="12"/>
        <v>-3</v>
      </c>
      <c r="Q33" s="8">
        <f t="shared" si="13"/>
        <v>3.0612244897959183E-2</v>
      </c>
      <c r="R33">
        <f t="shared" si="14"/>
        <v>9</v>
      </c>
      <c r="S33">
        <f>Forecast_Model!G32</f>
        <v>100</v>
      </c>
      <c r="T33">
        <f t="shared" si="3"/>
        <v>-2</v>
      </c>
      <c r="U33" s="8">
        <f t="shared" si="4"/>
        <v>2.0408163265306121E-2</v>
      </c>
      <c r="V33">
        <f t="shared" si="5"/>
        <v>4</v>
      </c>
    </row>
    <row r="34" spans="1:22" x14ac:dyDescent="0.35">
      <c r="A34" s="4">
        <v>31</v>
      </c>
      <c r="C34">
        <f>Forecast_Model!C33</f>
        <v>98</v>
      </c>
      <c r="G34">
        <f>Forecast_Model!D33</f>
        <v>100</v>
      </c>
      <c r="K34">
        <f>Forecast_Model!E33</f>
        <v>98</v>
      </c>
      <c r="O34">
        <f>Forecast_Model!F33</f>
        <v>100</v>
      </c>
      <c r="S34">
        <f>Forecast_Model!G33</f>
        <v>99</v>
      </c>
    </row>
    <row r="35" spans="1:22" x14ac:dyDescent="0.35">
      <c r="V35" s="3"/>
    </row>
    <row r="36" spans="1:22" x14ac:dyDescent="0.35">
      <c r="A36" s="13" t="s">
        <v>9</v>
      </c>
      <c r="B36" s="14">
        <f>AVERAGE(D5:D33)</f>
        <v>6.8965517241379309E-2</v>
      </c>
      <c r="C36" s="14"/>
      <c r="D36" s="14"/>
      <c r="E36" s="14"/>
      <c r="F36" s="14">
        <f t="shared" ref="F36:R36" si="15">AVERAGE(H5:H33)</f>
        <v>0.21428571428571427</v>
      </c>
      <c r="G36" s="14"/>
      <c r="H36" s="14"/>
      <c r="I36" s="14"/>
      <c r="J36" s="14">
        <f t="shared" si="15"/>
        <v>-0.18518518518518517</v>
      </c>
      <c r="K36" s="14"/>
      <c r="L36" s="14"/>
      <c r="M36" s="14"/>
      <c r="N36" s="14">
        <f t="shared" si="15"/>
        <v>-0.24</v>
      </c>
      <c r="O36" s="14"/>
      <c r="P36" s="14"/>
      <c r="Q36" s="14"/>
      <c r="R36" s="14">
        <f t="shared" si="15"/>
        <v>-0.10344827586206896</v>
      </c>
      <c r="S36" s="7"/>
      <c r="T36" s="7"/>
      <c r="U36" s="7"/>
      <c r="V36" s="7"/>
    </row>
    <row r="37" spans="1:22" x14ac:dyDescent="0.35">
      <c r="A37" s="4" t="s">
        <v>10</v>
      </c>
      <c r="B37" s="12">
        <f>AVERAGE(E5:E33)</f>
        <v>3.7985983299395856E-2</v>
      </c>
      <c r="C37" s="12"/>
      <c r="D37" s="12"/>
      <c r="E37" s="12"/>
      <c r="F37" s="12">
        <f t="shared" ref="F37:R37" si="16">AVERAGE(I5:I33)</f>
        <v>2.8491987249520675E-2</v>
      </c>
      <c r="G37" s="12"/>
      <c r="H37" s="12"/>
      <c r="I37" s="12"/>
      <c r="J37" s="12">
        <f t="shared" si="16"/>
        <v>3.0057520396705936E-2</v>
      </c>
      <c r="K37" s="12"/>
      <c r="L37" s="12"/>
      <c r="M37" s="12"/>
      <c r="N37" s="23">
        <f t="shared" si="16"/>
        <v>2.5684544606164459E-2</v>
      </c>
      <c r="O37" s="12"/>
      <c r="P37" s="12"/>
      <c r="Q37" s="12"/>
      <c r="R37" s="12">
        <f t="shared" si="16"/>
        <v>3.1435031610904503E-2</v>
      </c>
      <c r="S37" s="8"/>
      <c r="T37" s="8"/>
      <c r="U37" s="8"/>
      <c r="V37" s="8"/>
    </row>
    <row r="38" spans="1:22" ht="15" thickBot="1" x14ac:dyDescent="0.4">
      <c r="A38" s="15" t="s">
        <v>11</v>
      </c>
      <c r="B38" s="16">
        <f>AVERAGE(F5:F33)</f>
        <v>19.517241379310345</v>
      </c>
      <c r="C38" s="16"/>
      <c r="D38" s="16"/>
      <c r="E38" s="16"/>
      <c r="F38" s="16">
        <f t="shared" ref="F38:R38" si="17">AVERAGE(J5:J33)</f>
        <v>10.714285714285714</v>
      </c>
      <c r="G38" s="16"/>
      <c r="H38" s="16"/>
      <c r="I38" s="16"/>
      <c r="J38" s="16">
        <f t="shared" si="17"/>
        <v>12.185185185185185</v>
      </c>
      <c r="K38" s="16"/>
      <c r="L38" s="16"/>
      <c r="M38" s="16"/>
      <c r="N38" s="24">
        <f t="shared" si="17"/>
        <v>9.92</v>
      </c>
      <c r="O38" s="16"/>
      <c r="P38" s="16"/>
      <c r="Q38" s="16"/>
      <c r="R38" s="16">
        <f t="shared" si="17"/>
        <v>13.137931034482758</v>
      </c>
      <c r="S38" s="7"/>
      <c r="T38" s="7"/>
      <c r="U38" s="7"/>
      <c r="V38" s="7"/>
    </row>
    <row r="39" spans="1:22" x14ac:dyDescent="0.35">
      <c r="A39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4AD5-E5DE-4234-BE11-56B968172029}">
  <dimension ref="A1:D8"/>
  <sheetViews>
    <sheetView workbookViewId="0">
      <selection activeCell="C24" sqref="C24"/>
    </sheetView>
  </sheetViews>
  <sheetFormatPr defaultColWidth="22.36328125" defaultRowHeight="14.5" x14ac:dyDescent="0.35"/>
  <sheetData>
    <row r="1" spans="1:4" ht="21" x14ac:dyDescent="0.5">
      <c r="A1" s="6" t="s">
        <v>20</v>
      </c>
      <c r="B1" s="5"/>
      <c r="C1" s="5"/>
      <c r="D1" s="5"/>
    </row>
    <row r="3" spans="1:4" ht="15" thickBot="1" x14ac:dyDescent="0.4">
      <c r="A3" s="11" t="s">
        <v>21</v>
      </c>
      <c r="B3" s="11" t="s">
        <v>22</v>
      </c>
      <c r="C3" s="11" t="s">
        <v>23</v>
      </c>
      <c r="D3" s="11" t="s">
        <v>24</v>
      </c>
    </row>
    <row r="4" spans="1:4" x14ac:dyDescent="0.35">
      <c r="A4" s="9" t="s">
        <v>25</v>
      </c>
      <c r="B4" s="17">
        <f>Forecast_Errors!B36</f>
        <v>6.8965517241379309E-2</v>
      </c>
      <c r="C4" s="10">
        <f>Forecast_Errors!B37</f>
        <v>3.7985983299395856E-2</v>
      </c>
      <c r="D4" s="17">
        <f>Forecast_Errors!B38</f>
        <v>19.517241379310345</v>
      </c>
    </row>
    <row r="5" spans="1:4" x14ac:dyDescent="0.35">
      <c r="A5" s="9" t="s">
        <v>3</v>
      </c>
      <c r="B5" s="17">
        <f>Forecast_Errors!F36</f>
        <v>0.21428571428571427</v>
      </c>
      <c r="C5" s="10">
        <f>Forecast_Errors!F37</f>
        <v>2.8491987249520675E-2</v>
      </c>
      <c r="D5" s="17">
        <f>Forecast_Errors!F38</f>
        <v>10.714285714285714</v>
      </c>
    </row>
    <row r="6" spans="1:4" x14ac:dyDescent="0.35">
      <c r="A6" s="9" t="s">
        <v>26</v>
      </c>
      <c r="B6" s="17">
        <f>Forecast_Errors!J36</f>
        <v>-0.18518518518518517</v>
      </c>
      <c r="C6" s="10">
        <f>Forecast_Errors!J37</f>
        <v>3.0057520396705936E-2</v>
      </c>
      <c r="D6" s="17">
        <f>Forecast_Errors!J38</f>
        <v>12.185185185185185</v>
      </c>
    </row>
    <row r="7" spans="1:4" s="21" customFormat="1" x14ac:dyDescent="0.35">
      <c r="A7" s="18" t="s">
        <v>27</v>
      </c>
      <c r="B7" s="19">
        <f>Forecast_Errors!N36</f>
        <v>-0.24</v>
      </c>
      <c r="C7" s="20">
        <f>Forecast_Errors!N37</f>
        <v>2.5684544606164459E-2</v>
      </c>
      <c r="D7" s="19">
        <f>Forecast_Errors!N38</f>
        <v>9.92</v>
      </c>
    </row>
    <row r="8" spans="1:4" x14ac:dyDescent="0.35">
      <c r="A8" s="9" t="s">
        <v>28</v>
      </c>
      <c r="B8" s="17">
        <f>Forecast_Errors!R36</f>
        <v>-0.10344827586206896</v>
      </c>
      <c r="C8" s="10">
        <f>Forecast_Errors!R37</f>
        <v>3.1435031610904503E-2</v>
      </c>
      <c r="D8" s="17">
        <f>Forecast_Errors!R38</f>
        <v>13.137931034482758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8164-8619-47E5-896C-86FE153B1126}">
  <dimension ref="A1:K28"/>
  <sheetViews>
    <sheetView workbookViewId="0">
      <selection activeCell="L35" sqref="L35"/>
    </sheetView>
  </sheetViews>
  <sheetFormatPr defaultRowHeight="14.5" x14ac:dyDescent="0.35"/>
  <cols>
    <col min="2" max="2" width="23.08984375" customWidth="1"/>
    <col min="8" max="8" width="20.90625" customWidth="1"/>
    <col min="9" max="9" width="12.81640625" customWidth="1"/>
  </cols>
  <sheetData>
    <row r="1" spans="1:11" ht="21" x14ac:dyDescent="0.5">
      <c r="A1" s="6" t="s">
        <v>29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x14ac:dyDescent="0.35">
      <c r="B3" s="4" t="s">
        <v>30</v>
      </c>
    </row>
    <row r="10" spans="1:11" x14ac:dyDescent="0.35">
      <c r="B10" s="3" t="s">
        <v>3</v>
      </c>
    </row>
    <row r="16" spans="1:11" x14ac:dyDescent="0.35">
      <c r="I16" s="3"/>
    </row>
    <row r="18" spans="2:8" x14ac:dyDescent="0.35">
      <c r="B18" s="3" t="s">
        <v>32</v>
      </c>
      <c r="H18" s="3" t="s">
        <v>31</v>
      </c>
    </row>
    <row r="19" spans="2:8" x14ac:dyDescent="0.35">
      <c r="B19" s="3"/>
    </row>
    <row r="26" spans="2:8" x14ac:dyDescent="0.35">
      <c r="B26" s="1"/>
    </row>
    <row r="28" spans="2:8" x14ac:dyDescent="0.35">
      <c r="B2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Forecast_Model</vt:lpstr>
      <vt:lpstr>Forecast_Errors</vt:lpstr>
      <vt:lpstr>Method_Comparison</vt:lpstr>
      <vt:lpstr>Forecast_Methods_Reference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Aaron</dc:creator>
  <cp:lastModifiedBy>Michael Aaron</cp:lastModifiedBy>
  <dcterms:created xsi:type="dcterms:W3CDTF">2025-12-18T21:07:53Z</dcterms:created>
  <dcterms:modified xsi:type="dcterms:W3CDTF">2026-01-02T20:32:17Z</dcterms:modified>
</cp:coreProperties>
</file>